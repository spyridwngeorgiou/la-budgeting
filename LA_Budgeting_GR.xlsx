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ables/table1.xml" ContentType="application/vnd.openxmlformats-officedocument.spreadsheetml.table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Control Center" sheetId="1" state="visible" r:id="rId1"/>
    <sheet xmlns:r="http://schemas.openxmlformats.org/officeDocument/2006/relationships" name="Expenses" sheetId="2" state="visible" r:id="rId2"/>
    <sheet xmlns:r="http://schemas.openxmlformats.org/officeDocument/2006/relationships" name="Accounts" sheetId="3" state="visible" r:id="rId3"/>
    <sheet xmlns:r="http://schemas.openxmlformats.org/officeDocument/2006/relationships" name="Info" sheetId="4" state="visible" r:id="rId4"/>
  </sheets>
  <definedNames/>
  <calcPr calcId="124519" fullCalcOnLoad="1"/>
</workbook>
</file>

<file path=xl/styles.xml><?xml version="1.0" encoding="utf-8"?>
<styleSheet xmlns="http://schemas.openxmlformats.org/spreadsheetml/2006/main">
  <numFmts count="1">
    <numFmt numFmtId="164" formatCode="€#,##0.00"/>
  </numFmts>
  <fonts count="37">
    <font>
      <name val="Calibri"/>
      <family val="2"/>
      <color theme="1"/>
      <sz val="11"/>
      <scheme val="minor"/>
    </font>
    <font>
      <name val="Calibri"/>
      <b val="1"/>
      <color rgb="00FFFFFF"/>
      <sz val="15"/>
    </font>
    <font>
      <name val="Calibri"/>
      <b val="1"/>
      <color rgb="00000000"/>
      <sz val="11"/>
    </font>
    <font>
      <name val="Calibri"/>
      <b val="1"/>
      <color rgb="00059669"/>
      <sz val="11"/>
    </font>
    <font>
      <name val="Calibri"/>
      <i val="1"/>
      <color rgb="006B7280"/>
      <sz val="10"/>
    </font>
    <font>
      <name val="Calibri"/>
      <b val="1"/>
      <color rgb="001A2F4A"/>
      <sz val="10"/>
    </font>
    <font>
      <name val="Calibri"/>
      <color rgb="00374151"/>
      <sz val="11"/>
    </font>
    <font>
      <name val="Calibri"/>
      <b val="1"/>
      <color rgb="001868A8"/>
      <sz val="12"/>
    </font>
    <font>
      <name val="Calibri"/>
      <b val="1"/>
      <color rgb="00374151"/>
      <sz val="11"/>
    </font>
    <font>
      <name val="Calibri"/>
      <b val="1"/>
      <color rgb="001A2F4A"/>
      <sz val="14"/>
    </font>
    <font>
      <name val="Calibri"/>
      <b val="1"/>
      <color rgb="00965800"/>
      <sz val="12"/>
    </font>
    <font>
      <name val="Calibri"/>
      <color rgb="006B7280"/>
      <sz val="11"/>
    </font>
    <font>
      <name val="Calibri"/>
      <color rgb="000B6640"/>
      <sz val="11"/>
    </font>
    <font>
      <name val="Calibri"/>
      <color rgb="007A3800"/>
      <sz val="11"/>
    </font>
    <font>
      <name val="Calibri"/>
      <b val="1"/>
      <color rgb="001A2F4A"/>
      <sz val="12"/>
    </font>
    <font>
      <name val="Calibri"/>
      <b val="1"/>
      <color rgb="000B6640"/>
      <sz val="16"/>
    </font>
    <font>
      <name val="Calibri"/>
      <b val="1"/>
      <color rgb="00FFFFFF"/>
      <sz val="14"/>
    </font>
    <font>
      <name val="Calibri"/>
      <b val="1"/>
      <color rgb="000B6640"/>
      <sz val="11"/>
    </font>
    <font>
      <name val="Calibri"/>
      <b val="1"/>
      <color rgb="000B6640"/>
      <sz val="14"/>
    </font>
    <font>
      <name val="Calibri"/>
      <b val="1"/>
      <color rgb="007A3800"/>
      <sz val="11"/>
    </font>
    <font>
      <name val="Calibri"/>
      <b val="1"/>
      <color rgb="007A3800"/>
      <sz val="14"/>
    </font>
    <font>
      <name val="Calibri"/>
      <b val="1"/>
      <color rgb="001A2F4A"/>
      <sz val="11"/>
    </font>
    <font>
      <name val="Calibri"/>
      <b val="1"/>
      <color rgb="00FFFFFF"/>
      <sz val="10"/>
    </font>
    <font>
      <name val="Calibri"/>
      <b val="1"/>
      <color rgb="001A2F4A"/>
      <sz val="9"/>
    </font>
    <font>
      <name val="Calibri"/>
      <b val="1"/>
      <color rgb="003E1A7C"/>
      <sz val="9"/>
    </font>
    <font>
      <name val="Calibri"/>
      <b val="1"/>
      <color rgb="00FFFFFF"/>
      <sz val="11"/>
    </font>
    <font>
      <name val="Calibri"/>
      <b val="1"/>
      <color rgb="00374151"/>
      <sz val="10"/>
    </font>
    <font>
      <name val="Calibri"/>
      <b val="1"/>
      <color rgb="00000000"/>
      <sz val="10"/>
    </font>
    <font>
      <name val="Calibri"/>
      <color rgb="00000000"/>
      <sz val="10"/>
    </font>
    <font>
      <name val="Calibri"/>
      <color rgb="00000000"/>
      <sz val="11"/>
    </font>
    <font>
      <name val="Calibri"/>
      <b val="1"/>
      <color rgb="00FFFFFF"/>
      <sz val="16"/>
    </font>
    <font>
      <name val="Calibri"/>
      <color rgb="007A3800"/>
      <sz val="10"/>
    </font>
    <font>
      <name val="Calibri"/>
      <b val="1"/>
      <color rgb="000B6640"/>
      <sz val="10"/>
    </font>
    <font>
      <name val="Calibri"/>
      <b val="1"/>
      <color rgb="007A3800"/>
      <sz val="10"/>
    </font>
    <font>
      <name val="Calibri"/>
      <b val="1"/>
      <color rgb="00965800"/>
      <sz val="10"/>
    </font>
    <font>
      <name val="Calibri"/>
      <b val="1"/>
      <color rgb="005A2895"/>
      <sz val="10"/>
    </font>
    <font>
      <name val="Calibri"/>
      <b val="1"/>
      <color rgb="00991B1B"/>
      <sz val="10"/>
    </font>
  </fonts>
  <fills count="16">
    <fill>
      <patternFill/>
    </fill>
    <fill>
      <patternFill patternType="gray125"/>
    </fill>
    <fill>
      <patternFill patternType="solid">
        <fgColor rgb="FF1A2F4A"/>
        <bgColor rgb="FF1A2F4A"/>
      </patternFill>
    </fill>
    <fill>
      <patternFill patternType="solid">
        <fgColor rgb="FF059669"/>
        <bgColor rgb="FF059669"/>
      </patternFill>
    </fill>
    <fill>
      <patternFill patternType="solid">
        <fgColor rgb="FFF0FAF8"/>
        <bgColor rgb="FFF0FAF8"/>
      </patternFill>
    </fill>
    <fill>
      <patternFill patternType="solid">
        <fgColor rgb="FFF6F8FA"/>
        <bgColor rgb="FFF6F8FA"/>
      </patternFill>
    </fill>
    <fill>
      <patternFill patternType="solid">
        <fgColor rgb="FFFFFFFF"/>
        <bgColor rgb="FFFFFFFF"/>
      </patternFill>
    </fill>
    <fill>
      <patternFill patternType="solid">
        <fgColor rgb="FFE3EFF8"/>
        <bgColor rgb="FFE3EFF8"/>
      </patternFill>
    </fill>
    <fill>
      <patternFill patternType="solid">
        <fgColor rgb="FFFEF0D8"/>
        <bgColor rgb="FFFEF0D8"/>
      </patternFill>
    </fill>
    <fill>
      <patternFill patternType="solid">
        <fgColor rgb="FFE8F8F1"/>
        <bgColor rgb="FFE8F8F1"/>
      </patternFill>
    </fill>
    <fill>
      <patternFill patternType="solid">
        <fgColor rgb="FFFDF0D8"/>
        <bgColor rgb="FFFDF0D8"/>
      </patternFill>
    </fill>
    <fill>
      <patternFill patternType="solid">
        <fgColor rgb="FFFDF8ED"/>
        <bgColor rgb="FFFDF8ED"/>
      </patternFill>
    </fill>
    <fill>
      <patternFill patternType="solid">
        <fgColor rgb="FFF0EEFF"/>
        <bgColor rgb="FFF0EEFF"/>
      </patternFill>
    </fill>
    <fill>
      <patternFill patternType="solid">
        <fgColor rgb="FF1868A8"/>
        <bgColor rgb="FF1868A8"/>
      </patternFill>
    </fill>
    <fill>
      <patternFill patternType="solid">
        <fgColor rgb="FFFF9800"/>
        <bgColor rgb="FFFF9800"/>
      </patternFill>
    </fill>
    <fill>
      <patternFill patternType="solid">
        <fgColor rgb="FFFCEFEF"/>
        <bgColor rgb="FFFCEFEF"/>
      </patternFill>
    </fill>
  </fills>
  <borders count="7">
    <border>
      <left/>
      <right/>
      <top/>
      <bottom/>
      <diagonal/>
    </border>
    <border>
      <left style="thin">
        <color rgb="FFCCD5DF"/>
      </left>
      <right style="thin">
        <color rgb="FFCCD5DF"/>
      </right>
      <top style="thin">
        <color rgb="FFCCD5DF"/>
      </top>
      <bottom style="thin">
        <color rgb="FFCCD5DF"/>
      </bottom>
    </border>
    <border>
      <left style="thin">
        <color rgb="FFCCD5DF"/>
      </left>
      <right style="thin">
        <color rgb="FFCCD5DF"/>
      </right>
      <top style="thin">
        <color rgb="FFCCD5DF"/>
      </top>
      <bottom style="medium">
        <color rgb="FF1A2F4A"/>
      </bottom>
    </border>
    <border>
      <left style="thin">
        <color rgb="FF1A2F4A"/>
      </left>
      <right style="thin">
        <color rgb="FF1A2F4A"/>
      </right>
      <top style="thin">
        <color rgb="FF1A2F4A"/>
      </top>
      <bottom style="thin">
        <color rgb="FF1A2F4A"/>
      </bottom>
    </border>
    <border>
      <left style="thin">
        <color rgb="FFCCD5DF"/>
      </left>
      <right style="thin">
        <color rgb="FFCCD5DF"/>
      </right>
      <top style="thin">
        <color rgb="FFCCD5DF"/>
      </top>
      <bottom style="medium">
        <color rgb="FF1868A8"/>
      </bottom>
    </border>
    <border>
      <left style="thin">
        <color rgb="FF2E75B6"/>
      </left>
      <right style="thin">
        <color rgb="FF2E75B6"/>
      </right>
      <top style="thin">
        <color rgb="FF2E75B6"/>
      </top>
      <bottom style="thin">
        <color rgb="FF2E75B6"/>
      </bottom>
    </border>
    <border>
      <left style="thin">
        <color rgb="FFD0D0D0"/>
      </left>
      <right style="thin">
        <color rgb="FFD0D0D0"/>
      </right>
      <top style="thin">
        <color rgb="FFD0D0D0"/>
      </top>
      <bottom style="thin">
        <color rgb="FFD0D0D0"/>
      </bottom>
    </border>
  </borders>
  <cellStyleXfs count="1">
    <xf numFmtId="0" fontId="0" fillId="0" borderId="0"/>
  </cellStyleXfs>
  <cellXfs count="98">
    <xf numFmtId="0" fontId="0" fillId="0" borderId="0" pivotButton="0" quotePrefix="0" xfId="0"/>
    <xf numFmtId="0" fontId="1" fillId="2" borderId="0" applyAlignment="1" pivotButton="0" quotePrefix="0" xfId="0">
      <alignment horizontal="left" vertical="center"/>
    </xf>
    <xf numFmtId="0" fontId="0" fillId="3" borderId="0" pivotButton="0" quotePrefix="0" xfId="0"/>
    <xf numFmtId="0" fontId="2" fillId="4" borderId="1" applyAlignment="1" pivotButton="0" quotePrefix="0" xfId="0">
      <alignment horizontal="left" vertical="center"/>
    </xf>
    <xf numFmtId="0" fontId="3" fillId="4" borderId="1" applyAlignment="1" pivotButton="0" quotePrefix="0" xfId="0">
      <alignment horizontal="right" vertical="center"/>
    </xf>
    <xf numFmtId="0" fontId="4" fillId="4" borderId="1" applyAlignment="1" pivotButton="0" quotePrefix="0" xfId="0">
      <alignment horizontal="left" vertical="center"/>
    </xf>
    <xf numFmtId="0" fontId="0" fillId="4" borderId="0" pivotButton="0" quotePrefix="0" xfId="0"/>
    <xf numFmtId="0" fontId="0" fillId="2" borderId="0" pivotButton="0" quotePrefix="0" xfId="0"/>
    <xf numFmtId="0" fontId="5" fillId="5" borderId="2" applyAlignment="1" pivotButton="0" quotePrefix="0" xfId="0">
      <alignment horizontal="left" vertical="center"/>
    </xf>
    <xf numFmtId="0" fontId="0" fillId="5" borderId="0" pivotButton="0" quotePrefix="0" xfId="0"/>
    <xf numFmtId="0" fontId="0" fillId="2" borderId="3" pivotButton="0" quotePrefix="0" xfId="0"/>
    <xf numFmtId="0" fontId="6" fillId="5" borderId="1" applyAlignment="1" pivotButton="0" quotePrefix="0" xfId="0">
      <alignment horizontal="left" vertical="center" wrapText="1"/>
    </xf>
    <xf numFmtId="164" fontId="7" fillId="6" borderId="1" applyAlignment="1" pivotButton="0" quotePrefix="0" xfId="0">
      <alignment horizontal="right" vertical="center"/>
    </xf>
    <xf numFmtId="0" fontId="4" fillId="6" borderId="1" applyAlignment="1" pivotButton="0" quotePrefix="0" xfId="0">
      <alignment horizontal="left" vertical="center" wrapText="1"/>
    </xf>
    <xf numFmtId="0" fontId="8" fillId="7" borderId="1" applyAlignment="1" pivotButton="0" quotePrefix="0" xfId="0">
      <alignment horizontal="left" vertical="center" wrapText="1"/>
    </xf>
    <xf numFmtId="164" fontId="9" fillId="7" borderId="1" applyAlignment="1" pivotButton="0" quotePrefix="0" xfId="0">
      <alignment horizontal="right" vertical="center"/>
    </xf>
    <xf numFmtId="0" fontId="4" fillId="7" borderId="1" applyAlignment="1" pivotButton="0" quotePrefix="0" xfId="0">
      <alignment horizontal="left" vertical="center" wrapText="1"/>
    </xf>
    <xf numFmtId="0" fontId="6" fillId="8" borderId="1" applyAlignment="1" pivotButton="0" quotePrefix="0" xfId="0">
      <alignment horizontal="left" vertical="center" wrapText="1"/>
    </xf>
    <xf numFmtId="164" fontId="10" fillId="8" borderId="1" applyAlignment="1" pivotButton="0" quotePrefix="0" xfId="0">
      <alignment horizontal="right" vertical="center"/>
    </xf>
    <xf numFmtId="0" fontId="4" fillId="8" borderId="1" applyAlignment="1" pivotButton="0" quotePrefix="0" xfId="0">
      <alignment horizontal="left" vertical="center" wrapText="1"/>
    </xf>
    <xf numFmtId="164" fontId="11" fillId="5" borderId="1" applyAlignment="1" pivotButton="0" quotePrefix="0" xfId="0">
      <alignment horizontal="right" vertical="center"/>
    </xf>
    <xf numFmtId="0" fontId="0" fillId="6" borderId="0" pivotButton="0" quotePrefix="0" xfId="0"/>
    <xf numFmtId="164" fontId="11" fillId="6" borderId="1" applyAlignment="1" pivotButton="0" quotePrefix="0" xfId="0">
      <alignment horizontal="right" vertical="center"/>
    </xf>
    <xf numFmtId="164" fontId="12" fillId="6" borderId="1" applyAlignment="1" pivotButton="0" quotePrefix="0" xfId="0">
      <alignment horizontal="right" vertical="center"/>
    </xf>
    <xf numFmtId="164" fontId="13" fillId="6" borderId="1" applyAlignment="1" pivotButton="0" quotePrefix="0" xfId="0">
      <alignment horizontal="right" vertical="center"/>
    </xf>
    <xf numFmtId="164" fontId="14" fillId="6" borderId="1" applyAlignment="1" pivotButton="0" quotePrefix="0" xfId="0">
      <alignment horizontal="right" vertical="center"/>
    </xf>
    <xf numFmtId="0" fontId="8" fillId="9" borderId="1" applyAlignment="1" pivotButton="0" quotePrefix="0" xfId="0">
      <alignment horizontal="left" vertical="center" wrapText="1"/>
    </xf>
    <xf numFmtId="164" fontId="15" fillId="9" borderId="1" applyAlignment="1" pivotButton="0" quotePrefix="0" xfId="0">
      <alignment horizontal="right" vertical="center"/>
    </xf>
    <xf numFmtId="0" fontId="4" fillId="9" borderId="1" applyAlignment="1" pivotButton="0" quotePrefix="0" xfId="0">
      <alignment horizontal="left" vertical="center" wrapText="1"/>
    </xf>
    <xf numFmtId="0" fontId="16" fillId="2" borderId="0" applyAlignment="1" pivotButton="0" quotePrefix="0" xfId="0">
      <alignment horizontal="left" vertical="center"/>
    </xf>
    <xf numFmtId="0" fontId="25" fillId="2" borderId="0" applyAlignment="1" pivotButton="0" quotePrefix="0" xfId="0">
      <alignment horizontal="left" vertical="center"/>
    </xf>
    <xf numFmtId="0" fontId="26" fillId="7" borderId="1" applyAlignment="1" pivotButton="0" quotePrefix="0" xfId="0">
      <alignment horizontal="center" vertical="center"/>
    </xf>
    <xf numFmtId="0" fontId="5" fillId="7" borderId="4" applyAlignment="1" pivotButton="0" quotePrefix="0" xfId="0">
      <alignment horizontal="left" vertical="center"/>
    </xf>
    <xf numFmtId="0" fontId="27" fillId="11" borderId="1" applyAlignment="1" pivotButton="0" quotePrefix="0" xfId="0">
      <alignment horizontal="left" vertical="center"/>
    </xf>
    <xf numFmtId="164" fontId="28" fillId="5" borderId="1" applyAlignment="1" pivotButton="0" quotePrefix="0" xfId="0">
      <alignment horizontal="right" vertical="center"/>
    </xf>
    <xf numFmtId="0" fontId="17" fillId="9" borderId="1" applyAlignment="1" pivotButton="0" quotePrefix="0" xfId="0">
      <alignment horizontal="left" vertical="center"/>
    </xf>
    <xf numFmtId="0" fontId="0" fillId="9" borderId="1" pivotButton="0" quotePrefix="0" xfId="0"/>
    <xf numFmtId="164" fontId="18" fillId="9" borderId="1" applyAlignment="1" pivotButton="0" quotePrefix="0" xfId="0">
      <alignment horizontal="right" vertical="center"/>
    </xf>
    <xf numFmtId="0" fontId="4" fillId="9" borderId="1" applyAlignment="1" pivotButton="0" quotePrefix="0" xfId="0">
      <alignment horizontal="left" vertical="center"/>
    </xf>
    <xf numFmtId="0" fontId="19" fillId="10" borderId="1" applyAlignment="1" pivotButton="0" quotePrefix="0" xfId="0">
      <alignment horizontal="left" vertical="center"/>
    </xf>
    <xf numFmtId="0" fontId="0" fillId="10" borderId="1" pivotButton="0" quotePrefix="0" xfId="0"/>
    <xf numFmtId="164" fontId="20" fillId="10" borderId="1" applyAlignment="1" pivotButton="0" quotePrefix="0" xfId="0">
      <alignment horizontal="right" vertical="center"/>
    </xf>
    <xf numFmtId="0" fontId="4" fillId="10" borderId="1" applyAlignment="1" pivotButton="0" quotePrefix="0" xfId="0">
      <alignment horizontal="left" vertical="center"/>
    </xf>
    <xf numFmtId="0" fontId="28" fillId="11" borderId="1" applyAlignment="1" pivotButton="0" quotePrefix="0" xfId="0">
      <alignment horizontal="left" vertical="center"/>
    </xf>
    <xf numFmtId="0" fontId="21" fillId="7" borderId="1" applyAlignment="1" pivotButton="0" quotePrefix="0" xfId="0">
      <alignment horizontal="left" vertical="center"/>
    </xf>
    <xf numFmtId="0" fontId="0" fillId="7" borderId="1" pivotButton="0" quotePrefix="0" xfId="0"/>
    <xf numFmtId="0" fontId="4" fillId="7" borderId="1" applyAlignment="1" pivotButton="0" quotePrefix="0" xfId="0">
      <alignment horizontal="left" vertical="center"/>
    </xf>
    <xf numFmtId="0" fontId="22" fillId="2" borderId="5" applyAlignment="1" pivotButton="0" quotePrefix="0" xfId="0">
      <alignment horizontal="center" vertical="center"/>
    </xf>
    <xf numFmtId="0" fontId="23" fillId="7" borderId="1" applyAlignment="1" pivotButton="0" quotePrefix="0" xfId="0">
      <alignment horizontal="center" vertical="center"/>
    </xf>
    <xf numFmtId="0" fontId="0" fillId="6" borderId="1" applyAlignment="1" pivotButton="0" quotePrefix="0" xfId="0">
      <alignment horizontal="left" vertical="center"/>
    </xf>
    <xf numFmtId="0" fontId="0" fillId="9" borderId="1" applyAlignment="1" pivotButton="0" quotePrefix="0" xfId="0">
      <alignment horizontal="center" vertical="center"/>
    </xf>
    <xf numFmtId="0" fontId="0" fillId="6" borderId="1" applyAlignment="1" pivotButton="0" quotePrefix="0" xfId="0">
      <alignment horizontal="center" vertical="center"/>
    </xf>
    <xf numFmtId="164" fontId="0" fillId="6" borderId="1" applyAlignment="1" pivotButton="0" quotePrefix="0" xfId="0">
      <alignment horizontal="right" vertical="center"/>
    </xf>
    <xf numFmtId="0" fontId="0" fillId="6" borderId="1" applyAlignment="1" pivotButton="0" quotePrefix="0" xfId="0">
      <alignment horizontal="left" vertical="center" wrapText="1"/>
    </xf>
    <xf numFmtId="0" fontId="27" fillId="7" borderId="1" applyAlignment="1" pivotButton="0" quotePrefix="0" xfId="0">
      <alignment horizontal="left" vertical="center"/>
    </xf>
    <xf numFmtId="164" fontId="5" fillId="7" borderId="1" applyAlignment="1" pivotButton="0" quotePrefix="0" xfId="0">
      <alignment horizontal="right" vertical="center"/>
    </xf>
    <xf numFmtId="0" fontId="0" fillId="11" borderId="1" applyAlignment="1" pivotButton="0" quotePrefix="0" xfId="0">
      <alignment horizontal="center" vertical="center"/>
    </xf>
    <xf numFmtId="0" fontId="24" fillId="12" borderId="1" applyAlignment="1" pivotButton="0" quotePrefix="0" xfId="0">
      <alignment horizontal="center" vertical="center"/>
    </xf>
    <xf numFmtId="0" fontId="0" fillId="11" borderId="6" applyAlignment="1" pivotButton="0" quotePrefix="0" xfId="0">
      <alignment horizontal="center" vertical="center"/>
    </xf>
    <xf numFmtId="0" fontId="0" fillId="6" borderId="6" pivotButton="0" quotePrefix="0" xfId="0"/>
    <xf numFmtId="164" fontId="0" fillId="11" borderId="6" applyAlignment="1" pivotButton="0" quotePrefix="0" xfId="0">
      <alignment horizontal="right" vertical="center"/>
    </xf>
    <xf numFmtId="0" fontId="4" fillId="5" borderId="0" applyAlignment="1" pivotButton="0" quotePrefix="0" xfId="0">
      <alignment horizontal="left" vertical="center"/>
    </xf>
    <xf numFmtId="0" fontId="5" fillId="5" borderId="4" applyAlignment="1" pivotButton="0" quotePrefix="0" xfId="0">
      <alignment horizontal="left" vertical="center"/>
    </xf>
    <xf numFmtId="0" fontId="29" fillId="6" borderId="1" applyAlignment="1" pivotButton="0" quotePrefix="0" xfId="0">
      <alignment horizontal="left" vertical="center"/>
    </xf>
    <xf numFmtId="164" fontId="29" fillId="11" borderId="1" applyAlignment="1" pivotButton="0" quotePrefix="0" xfId="0">
      <alignment horizontal="right" vertical="center"/>
    </xf>
    <xf numFmtId="0" fontId="2" fillId="7" borderId="1" applyAlignment="1" pivotButton="0" quotePrefix="0" xfId="0">
      <alignment horizontal="left" vertical="center"/>
    </xf>
    <xf numFmtId="0" fontId="2" fillId="8" borderId="1" applyAlignment="1" pivotButton="0" quotePrefix="0" xfId="0">
      <alignment horizontal="left" vertical="center"/>
    </xf>
    <xf numFmtId="0" fontId="29" fillId="8" borderId="1" applyAlignment="1" pivotButton="0" quotePrefix="0" xfId="0">
      <alignment horizontal="left" vertical="center"/>
    </xf>
    <xf numFmtId="0" fontId="29" fillId="11" borderId="1" applyAlignment="1" pivotButton="0" quotePrefix="0" xfId="0">
      <alignment horizontal="left" vertical="center"/>
    </xf>
    <xf numFmtId="0" fontId="30" fillId="2" borderId="0" applyAlignment="1" pivotButton="0" quotePrefix="0" xfId="0">
      <alignment horizontal="left" vertical="center"/>
    </xf>
    <xf numFmtId="0" fontId="0" fillId="13" borderId="0" pivotButton="0" quotePrefix="0" xfId="0"/>
    <xf numFmtId="0" fontId="21" fillId="5" borderId="4" applyAlignment="1" pivotButton="0" quotePrefix="0" xfId="0">
      <alignment horizontal="left" vertical="center"/>
    </xf>
    <xf numFmtId="0" fontId="0" fillId="13" borderId="1" pivotButton="0" quotePrefix="0" xfId="0"/>
    <xf numFmtId="0" fontId="21" fillId="7" borderId="1" applyAlignment="1" pivotButton="0" quotePrefix="0" xfId="0">
      <alignment horizontal="left" vertical="center" wrapText="1"/>
    </xf>
    <xf numFmtId="0" fontId="0" fillId="5" borderId="1" pivotButton="0" quotePrefix="0" xfId="0"/>
    <xf numFmtId="0" fontId="6" fillId="6" borderId="1" applyAlignment="1" pivotButton="0" quotePrefix="0" xfId="0">
      <alignment horizontal="left" vertical="top" wrapText="1"/>
    </xf>
    <xf numFmtId="0" fontId="0" fillId="6" borderId="1" pivotButton="0" quotePrefix="0" xfId="0"/>
    <xf numFmtId="0" fontId="6" fillId="6" borderId="1" applyAlignment="1" pivotButton="0" quotePrefix="0" xfId="0">
      <alignment horizontal="left" vertical="center" wrapText="1"/>
    </xf>
    <xf numFmtId="0" fontId="0" fillId="14" borderId="1" pivotButton="0" quotePrefix="0" xfId="0"/>
    <xf numFmtId="0" fontId="31" fillId="11" borderId="1" applyAlignment="1" pivotButton="0" quotePrefix="0" xfId="0">
      <alignment horizontal="left" vertical="center" wrapText="1"/>
    </xf>
    <xf numFmtId="0" fontId="0" fillId="11" borderId="1" pivotButton="0" quotePrefix="0" xfId="0"/>
    <xf numFmtId="0" fontId="0" fillId="2" borderId="1" pivotButton="0" quotePrefix="0" xfId="0"/>
    <xf numFmtId="0" fontId="4" fillId="6" borderId="1" applyAlignment="1" pivotButton="0" quotePrefix="0" xfId="0">
      <alignment horizontal="left" vertical="top" wrapText="1"/>
    </xf>
    <xf numFmtId="0" fontId="31" fillId="11" borderId="1" applyAlignment="1" pivotButton="0" quotePrefix="0" xfId="0">
      <alignment horizontal="left" vertical="top" wrapText="1"/>
    </xf>
    <xf numFmtId="0" fontId="32" fillId="9" borderId="1" applyAlignment="1" pivotButton="0" quotePrefix="0" xfId="0">
      <alignment horizontal="left" vertical="center"/>
    </xf>
    <xf numFmtId="0" fontId="0" fillId="9" borderId="0" pivotButton="0" quotePrefix="0" xfId="0"/>
    <xf numFmtId="0" fontId="33" fillId="11" borderId="1" applyAlignment="1" pivotButton="0" quotePrefix="0" xfId="0">
      <alignment horizontal="left" vertical="center"/>
    </xf>
    <xf numFmtId="0" fontId="0" fillId="11" borderId="0" pivotButton="0" quotePrefix="0" xfId="0"/>
    <xf numFmtId="0" fontId="5" fillId="7" borderId="1" applyAlignment="1" pivotButton="0" quotePrefix="0" xfId="0">
      <alignment horizontal="left" vertical="center"/>
    </xf>
    <xf numFmtId="0" fontId="0" fillId="7" borderId="0" pivotButton="0" quotePrefix="0" xfId="0"/>
    <xf numFmtId="0" fontId="34" fillId="10" borderId="1" applyAlignment="1" pivotButton="0" quotePrefix="0" xfId="0">
      <alignment horizontal="left" vertical="center"/>
    </xf>
    <xf numFmtId="0" fontId="0" fillId="10" borderId="0" pivotButton="0" quotePrefix="0" xfId="0"/>
    <xf numFmtId="0" fontId="0" fillId="12" borderId="1" pivotButton="0" quotePrefix="0" xfId="0"/>
    <xf numFmtId="0" fontId="35" fillId="12" borderId="1" applyAlignment="1" pivotButton="0" quotePrefix="0" xfId="0">
      <alignment horizontal="left" vertical="center"/>
    </xf>
    <xf numFmtId="0" fontId="0" fillId="12" borderId="0" pivotButton="0" quotePrefix="0" xfId="0"/>
    <xf numFmtId="0" fontId="0" fillId="15" borderId="1" pivotButton="0" quotePrefix="0" xfId="0"/>
    <xf numFmtId="0" fontId="36" fillId="15" borderId="1" applyAlignment="1" pivotButton="0" quotePrefix="0" xfId="0">
      <alignment horizontal="left" vertical="center"/>
    </xf>
    <xf numFmtId="0" fontId="0" fillId="15" borderId="0" pivotButton="0" quotePrefix="0" xfId="0"/>
  </cellXfs>
  <cellStyles count="1">
    <cellStyle name="Normal" xfId="0" builtinId="0" hidden="0"/>
  </cellStyles>
  <dxfs count="4">
    <dxf>
      <font>
        <name val="Calibri"/>
        <b val="1"/>
        <color rgb="000B6640"/>
        <sz val="16"/>
      </font>
      <fill>
        <patternFill patternType="solid">
          <fgColor rgb="FFE8F8F1"/>
          <bgColor rgb="FFE8F8F1"/>
        </patternFill>
      </fill>
    </dxf>
    <dxf>
      <font>
        <name val="Calibri"/>
        <b val="1"/>
        <color rgb="00991B1B"/>
        <sz val="16"/>
      </font>
      <fill>
        <patternFill patternType="solid">
          <fgColor rgb="FFFCEFEF"/>
          <bgColor rgb="FFFCEFEF"/>
        </patternFill>
      </fill>
    </dxf>
    <dxf>
      <font>
        <name val="Calibri"/>
        <b val="1"/>
        <color rgb="00059669"/>
        <sz val="11"/>
      </font>
      <fill>
        <patternFill patternType="solid">
          <fgColor rgb="FFD1FAE5"/>
          <bgColor rgb="FFD1FAE5"/>
        </patternFill>
      </fill>
    </dxf>
    <dxf>
      <font>
        <name val="Calibri"/>
        <b val="1"/>
        <color rgb="00965800"/>
        <sz val="11"/>
      </font>
      <fill>
        <patternFill patternType="solid">
          <fgColor rgb="FFFEF0D8"/>
          <bgColor rgb="FFFEF0D8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styles" Target="styles.xml" Id="rId5"/><Relationship Type="http://schemas.openxmlformats.org/officeDocument/2006/relationships/theme" Target="theme/theme1.xml" Id="rId6"/></Relationships>
</file>

<file path=xl/tables/table1.xml><?xml version="1.0" encoding="utf-8"?>
<table xmlns="http://schemas.openxmlformats.org/spreadsheetml/2006/main" id="1" name="Table_Exp" displayName="Table_Exp" ref="A12:F62" headerRowCount="1">
  <autoFilter ref="A12:F62"/>
  <tableColumns count="6">
    <tableColumn id="1" name="Έργο"/>
    <tableColumn id="2" name="Είδος / Περιγραφή"/>
    <tableColumn id="3" name="Κατάσταση"/>
    <tableColumn id="4" name="Πηγή"/>
    <tableColumn id="5" name="Ποσό"/>
    <tableColumn id="6" name="Σημειώσεις"/>
  </tableColumns>
  <tableStyleInfo name="TableStyleMedium2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2.xml.rels><Relationships xmlns="http://schemas.openxmlformats.org/package/2006/relationships"><Relationship Type="http://schemas.openxmlformats.org/officeDocument/2006/relationships/table" Target="/xl/tables/table1.xml" Id="rId1"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D22"/>
  <sheetViews>
    <sheetView showGridLines="0" workbookViewId="0">
      <selection activeCell="A1" sqref="A1"/>
    </sheetView>
  </sheetViews>
  <sheetFormatPr baseColWidth="8" defaultRowHeight="15"/>
  <cols>
    <col width="3" customWidth="1" min="1" max="1"/>
    <col width="44" customWidth="1" min="2" max="2"/>
    <col width="18" customWidth="1" min="3" max="3"/>
    <col width="40" customWidth="1" min="4" max="4"/>
  </cols>
  <sheetData>
    <row r="1" ht="36" customHeight="1">
      <c r="A1" s="1" t="inlineStr">
        <is>
          <t xml:space="preserve">  ΠΡΟΫΠΟΛΟΓΙΣΜΟΣ LA  —  ΚΕΝΤΡΟ ΕΛΕΓΧΟΥ</t>
        </is>
      </c>
    </row>
    <row r="2" ht="24" customHeight="1">
      <c r="A2" s="2" t="n"/>
      <c r="B2" s="3" t="inlineStr">
        <is>
          <t>Κατάσταση Συστήματος:</t>
        </is>
      </c>
      <c r="C2" s="4">
        <f>IF(Accounts!B10-Expenses!D5&gt;=0,"ΛΕΙΤΟΥΡΓΙΚΟ","ΑΠΑΙΤΕΙΤΑΙ ΕΝΕΡΓΕΙΑ")</f>
        <v/>
      </c>
      <c r="D2" s="5">
        <f>"Τελευταία Ενημέρωση:  " &amp; TEXT(TODAY(),"DD-MMM-YYYY")</f>
        <v/>
      </c>
    </row>
    <row r="3" ht="6" customHeight="1">
      <c r="A3" s="6" t="n"/>
      <c r="B3" s="6" t="n"/>
      <c r="C3" s="6" t="n"/>
      <c r="D3" s="6" t="n"/>
    </row>
    <row r="4" ht="24" customHeight="1">
      <c r="A4" s="7" t="n"/>
      <c r="B4" s="8" t="inlineStr">
        <is>
          <t xml:space="preserve">  ΔΙΑΘΕΣΙΜΑ ΚΕΦΑΛΑΙΑ</t>
        </is>
      </c>
    </row>
    <row r="5" ht="5" customHeight="1">
      <c r="A5" s="9" t="n"/>
      <c r="B5" s="9" t="n"/>
      <c r="C5" s="9" t="n"/>
      <c r="D5" s="9" t="n"/>
    </row>
    <row r="6" ht="22" customHeight="1">
      <c r="A6" s="10" t="n"/>
      <c r="B6" s="11" t="inlineStr">
        <is>
          <t>💰  Μετρητά στο χέρι</t>
        </is>
      </c>
      <c r="C6" s="12">
        <f>Accounts!B7</f>
        <v/>
      </c>
      <c r="D6" s="13" t="inlineStr">
        <is>
          <t>Διαθέσιμα μετρητά</t>
        </is>
      </c>
    </row>
    <row r="7" ht="22" customHeight="1">
      <c r="A7" s="10" t="n"/>
      <c r="B7" s="11" t="inlineStr">
        <is>
          <t>🏦  Τράπεζες (Optima + Πειραιώς)</t>
        </is>
      </c>
      <c r="C7" s="12">
        <f>Accounts!B5+Accounts!B6</f>
        <v/>
      </c>
      <c r="D7" s="13" t="inlineStr">
        <is>
          <t>Υπόλοιπα τραπεζικών λογαριασμών</t>
        </is>
      </c>
    </row>
    <row r="8" ht="22" customHeight="1">
      <c r="A8" s="10" t="n"/>
      <c r="B8" s="11" t="inlineStr">
        <is>
          <t>🥇  Αποθέματα χρυσού</t>
        </is>
      </c>
      <c r="C8" s="12">
        <f>Accounts!B8</f>
        <v/>
      </c>
      <c r="D8" s="13" t="inlineStr">
        <is>
          <t>Εκτιμώμενη αξία χρυσού</t>
        </is>
      </c>
    </row>
    <row r="9" ht="30" customHeight="1">
      <c r="A9" s="10" t="n"/>
      <c r="B9" s="14" t="inlineStr">
        <is>
          <t>✦  ΣΥΝΟΛΟ ΕΠΙΒΕΒΑΙΩΜΕΝΩΝ ΚΕΦΑΛΑΙΩΝ</t>
        </is>
      </c>
      <c r="C9" s="15">
        <f>Accounts!B10</f>
        <v/>
      </c>
      <c r="D9" s="16" t="inlineStr">
        <is>
          <t>Όλοι οι λογαριασμοί (μαζί με έξτρα)</t>
        </is>
      </c>
    </row>
    <row r="10" ht="5" customHeight="1">
      <c r="A10" s="9" t="n"/>
      <c r="B10" s="9" t="n"/>
      <c r="C10" s="9" t="n"/>
      <c r="D10" s="9" t="n"/>
    </row>
    <row r="11" ht="22" customHeight="1">
      <c r="A11" s="10" t="n"/>
      <c r="B11" s="17" t="inlineStr">
        <is>
          <t>⏳  Δάνειο TEPIX</t>
        </is>
      </c>
      <c r="C11" s="18">
        <f>Accounts!B14</f>
        <v/>
      </c>
      <c r="D11" s="19">
        <f>"Κατάσταση: " &amp; Accounts!C14</f>
        <v/>
      </c>
    </row>
    <row r="12" ht="22" customHeight="1">
      <c r="A12" s="10" t="n"/>
      <c r="B12" s="11" t="inlineStr">
        <is>
          <t>⏳  Αναμενόμενα (άλλα εισερχόμενα)</t>
        </is>
      </c>
      <c r="C12" s="20">
        <f>Accounts!B15</f>
        <v/>
      </c>
      <c r="D12" s="13">
        <f>"Κατάσταση: " &amp; Accounts!C15</f>
        <v/>
      </c>
    </row>
    <row r="13" ht="6" customHeight="1">
      <c r="A13" s="21" t="n"/>
      <c r="B13" s="21" t="n"/>
      <c r="C13" s="21" t="n"/>
      <c r="D13" s="21" t="n"/>
    </row>
    <row r="14" ht="24" customHeight="1">
      <c r="A14" s="7" t="n"/>
      <c r="B14" s="8" t="inlineStr">
        <is>
          <t xml:space="preserve">  ΓΕΝΙΚΗ ΕΙΚΟΝΑ</t>
        </is>
      </c>
    </row>
    <row r="15" ht="5" customHeight="1">
      <c r="A15" s="9" t="n"/>
      <c r="B15" s="9" t="n"/>
      <c r="C15" s="9" t="n"/>
      <c r="D15" s="9" t="n"/>
    </row>
    <row r="16" ht="22" customHeight="1">
      <c r="A16" s="10" t="n"/>
      <c r="B16" s="11" t="inlineStr">
        <is>
          <t>💼  Σύνολο Διαθέσιμων Κεφαλαίων</t>
        </is>
      </c>
      <c r="C16" s="12">
        <f>Accounts!B10</f>
        <v/>
      </c>
      <c r="D16" s="13" t="inlineStr">
        <is>
          <t>Όλοι οι λογαριασμοί (μαζί με έξτρα)</t>
        </is>
      </c>
    </row>
    <row r="17" ht="22" customHeight="1">
      <c r="A17" s="10" t="n"/>
      <c r="B17" s="11" t="inlineStr">
        <is>
          <t>⏳  Σύνολο Εισερχομένων</t>
        </is>
      </c>
      <c r="C17" s="22">
        <f>Accounts!B17</f>
        <v/>
      </c>
      <c r="D17" s="13" t="inlineStr">
        <is>
          <t>TEPIX + αναμενόμενα + έξτρα</t>
        </is>
      </c>
    </row>
    <row r="18" ht="22" customHeight="1">
      <c r="A18" s="10" t="n"/>
      <c r="B18" s="11" t="inlineStr">
        <is>
          <t>✅  Σύνολο Πληρωμένων</t>
        </is>
      </c>
      <c r="C18" s="23">
        <f>Expenses!D4</f>
        <v/>
      </c>
      <c r="D18" s="13" t="inlineStr">
        <is>
          <t>Πληρωμένα όλων των έργων</t>
        </is>
      </c>
    </row>
    <row r="19" ht="22" customHeight="1">
      <c r="A19" s="10" t="n"/>
      <c r="B19" s="11" t="inlineStr">
        <is>
          <t>🧾  Σύνολο Υποχρεώσεων</t>
        </is>
      </c>
      <c r="C19" s="24">
        <f>Expenses!D5</f>
        <v/>
      </c>
      <c r="D19" s="13" t="inlineStr">
        <is>
          <t>Εκκρεμή όλων των έργων</t>
        </is>
      </c>
    </row>
    <row r="20" ht="22" customHeight="1">
      <c r="A20" s="10" t="n"/>
      <c r="B20" s="11" t="inlineStr">
        <is>
          <t>📊  Γενικός Προϋπολογισμός</t>
        </is>
      </c>
      <c r="C20" s="25">
        <f>Expenses!D6</f>
        <v/>
      </c>
      <c r="D20" s="13" t="inlineStr">
        <is>
          <t>Σύνολο όλων των έργων (πληρωμένα + εκκρεμή)</t>
        </is>
      </c>
    </row>
    <row r="21" ht="34" customHeight="1">
      <c r="A21" s="10" t="n"/>
      <c r="B21" s="26" t="inlineStr">
        <is>
          <t>💵  ΕΛΕΥΘΕΡΟ ΜΕΤΡΗΤΟ</t>
        </is>
      </c>
      <c r="C21" s="27">
        <f>Accounts!B10-Expenses!D5</f>
        <v/>
      </c>
      <c r="D21" s="28" t="inlineStr">
        <is>
          <t>Διαθέσιμα μετά από όλες τις υποχρεώσεις</t>
        </is>
      </c>
    </row>
    <row r="22" ht="6" customHeight="1">
      <c r="A22" s="21" t="n"/>
      <c r="B22" s="21" t="n"/>
      <c r="C22" s="21" t="n"/>
      <c r="D22" s="21" t="n"/>
    </row>
  </sheetData>
  <mergeCells count="3">
    <mergeCell ref="A1:D1"/>
    <mergeCell ref="B14:D14"/>
    <mergeCell ref="B4:D4"/>
  </mergeCells>
  <conditionalFormatting sqref="C21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C2">
    <cfRule type="expression" priority="3" dxfId="2">
      <formula>C2="ΛΕΙΤΟΥΡΓΙΚΟ"</formula>
    </cfRule>
    <cfRule type="expression" priority="4" dxfId="3">
      <formula>C2="ΑΠΑΙΤΕΙΤΑΙ ΕΝΕΡΓΕΙΑ"</formula>
    </cfRule>
  </conditionalFormatting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K63"/>
  <sheetViews>
    <sheetView showGridLines="0" workbookViewId="0">
      <pane ySplit="12" topLeftCell="A13" activePane="bottomLeft" state="frozen"/>
      <selection pane="bottomLeft" activeCell="A1" sqref="A1"/>
    </sheetView>
  </sheetViews>
  <sheetFormatPr baseColWidth="8" defaultRowHeight="15"/>
  <cols>
    <col width="22" customWidth="1" min="1" max="1"/>
    <col width="32" customWidth="1" min="2" max="2"/>
    <col width="14" customWidth="1" min="3" max="3"/>
    <col width="18" customWidth="1" min="4" max="4"/>
    <col width="16" customWidth="1" min="5" max="5"/>
    <col width="30" customWidth="1" min="6" max="6"/>
    <col width="3" customWidth="1" min="7" max="7"/>
    <col width="24" customWidth="1" min="8" max="8"/>
    <col width="14" customWidth="1" min="9" max="9"/>
    <col width="14" customWidth="1" min="10" max="10"/>
    <col width="14" customWidth="1" min="11" max="11"/>
  </cols>
  <sheetData>
    <row r="1" ht="34" customHeight="1">
      <c r="A1" s="29" t="inlineStr">
        <is>
          <t xml:space="preserve">  ΟΛΕΣ ΟΙ ΔΑΠΑΝΕΣ ΕΡΓΩΝ</t>
        </is>
      </c>
      <c r="H1" s="30" t="inlineStr">
        <is>
          <t xml:space="preserve">  ΕΡΓΑ — πρόσθεσε έως 12 (γράψε στη στήλη H)</t>
        </is>
      </c>
    </row>
    <row r="2" ht="20" customHeight="1">
      <c r="A2" s="9" t="n"/>
      <c r="B2" s="9" t="n"/>
      <c r="C2" s="9" t="n"/>
      <c r="D2" s="9" t="n"/>
      <c r="E2" s="9" t="n"/>
      <c r="F2" s="9" t="n"/>
      <c r="H2" s="31" t="inlineStr">
        <is>
          <t>Έργο</t>
        </is>
      </c>
      <c r="I2" s="31" t="inlineStr">
        <is>
          <t>Πληρωμένα</t>
        </is>
      </c>
      <c r="J2" s="31" t="inlineStr">
        <is>
          <t>Εκκρεμή</t>
        </is>
      </c>
      <c r="K2" s="31" t="inlineStr">
        <is>
          <t>Σύνολο</t>
        </is>
      </c>
    </row>
    <row r="3" ht="18" customHeight="1">
      <c r="A3" s="32" t="inlineStr">
        <is>
          <t xml:space="preserve">  ΓΕΝΙΚΗ ΕΙΚΟΝΑ — ΟΛΑ ΤΑ ΕΡΓΑ</t>
        </is>
      </c>
      <c r="H3" s="33" t="inlineStr">
        <is>
          <t>Lazaraki 5</t>
        </is>
      </c>
      <c r="I3" s="34">
        <f>IF($H3="","",SUMIFS(Table_Exp[Ποσό],Table_Exp[Έργο],$H3,Table_Exp[Κατάσταση],"Πληρωμένο"))</f>
        <v/>
      </c>
      <c r="J3" s="34">
        <f>IF($H3="","",SUMIFS(Table_Exp[Ποσό],Table_Exp[Έργο],$H3,Table_Exp[Κατάσταση],"Εκκρεμεί"))</f>
        <v/>
      </c>
      <c r="K3" s="34">
        <f>IF($H3="","",I3+J3)</f>
        <v/>
      </c>
    </row>
    <row r="4" ht="18" customHeight="1">
      <c r="A4" s="35" t="inlineStr">
        <is>
          <t>✅  Σύνολο Πληρωμένων</t>
        </is>
      </c>
      <c r="B4" s="36" t="n"/>
      <c r="C4" s="36" t="n"/>
      <c r="D4" s="37">
        <f>SUMIF(Table_Exp[Κατάσταση],"Πληρωμένο",Table_Exp[Ποσό])</f>
        <v/>
      </c>
      <c r="E4" s="38" t="inlineStr">
        <is>
          <t>Πληρωμές μέχρι σήμερα (όλα τα έργα)</t>
        </is>
      </c>
      <c r="F4" s="36" t="n"/>
      <c r="H4" s="33" t="inlineStr">
        <is>
          <t>Agiou Konstantinou</t>
        </is>
      </c>
      <c r="I4" s="34">
        <f>IF($H4="","",SUMIFS(Table_Exp[Ποσό],Table_Exp[Έργο],$H4,Table_Exp[Κατάσταση],"Πληρωμένο"))</f>
        <v/>
      </c>
      <c r="J4" s="34">
        <f>IF($H4="","",SUMIFS(Table_Exp[Ποσό],Table_Exp[Έργο],$H4,Table_Exp[Κατάσταση],"Εκκρεμεί"))</f>
        <v/>
      </c>
      <c r="K4" s="34">
        <f>IF($H4="","",I4+J4)</f>
        <v/>
      </c>
    </row>
    <row r="5" ht="18" customHeight="1">
      <c r="A5" s="39" t="inlineStr">
        <is>
          <t>⏰  Σύνολο Εκκρεμών</t>
        </is>
      </c>
      <c r="B5" s="40" t="n"/>
      <c r="C5" s="40" t="n"/>
      <c r="D5" s="41">
        <f>SUMIF(Table_Exp[Κατάσταση],"Εκκρεμεί",Table_Exp[Ποσό])</f>
        <v/>
      </c>
      <c r="E5" s="42" t="inlineStr">
        <is>
          <t>Εκκρεμή όλων των έργων</t>
        </is>
      </c>
      <c r="F5" s="40" t="n"/>
      <c r="H5" s="43" t="n"/>
      <c r="I5" s="34">
        <f>IF($H5="","",SUMIFS(Table_Exp[Ποσό],Table_Exp[Έργο],$H5,Table_Exp[Κατάσταση],"Πληρωμένο"))</f>
        <v/>
      </c>
      <c r="J5" s="34">
        <f>IF($H5="","",SUMIFS(Table_Exp[Ποσό],Table_Exp[Έργο],$H5,Table_Exp[Κατάσταση],"Εκκρεμεί"))</f>
        <v/>
      </c>
      <c r="K5" s="34">
        <f>IF($H5="","",I5+J5)</f>
        <v/>
      </c>
    </row>
    <row r="6" ht="18" customHeight="1">
      <c r="A6" s="44" t="inlineStr">
        <is>
          <t>📊  Γενικός Προϋπολογισμός</t>
        </is>
      </c>
      <c r="B6" s="45" t="n"/>
      <c r="C6" s="45" t="n"/>
      <c r="D6" s="15">
        <f>D4+D5</f>
        <v/>
      </c>
      <c r="E6" s="46" t="inlineStr">
        <is>
          <t>Σύνολο όλων των έργων (πληρωμένα + εκκρεμή)</t>
        </is>
      </c>
      <c r="F6" s="45" t="n"/>
      <c r="H6" s="43" t="n"/>
      <c r="I6" s="34">
        <f>IF($H6="","",SUMIFS(Table_Exp[Ποσό],Table_Exp[Έργο],$H6,Table_Exp[Κατάσταση],"Πληρωμένο"))</f>
        <v/>
      </c>
      <c r="J6" s="34">
        <f>IF($H6="","",SUMIFS(Table_Exp[Ποσό],Table_Exp[Έργο],$H6,Table_Exp[Κατάσταση],"Εκκρεμεί"))</f>
        <v/>
      </c>
      <c r="K6" s="34">
        <f>IF($H6="","",I6+J6)</f>
        <v/>
      </c>
    </row>
    <row r="7" ht="18" customHeight="1">
      <c r="A7" s="21" t="n"/>
      <c r="B7" s="21" t="n"/>
      <c r="C7" s="21" t="n"/>
      <c r="D7" s="21" t="n"/>
      <c r="E7" s="21" t="n"/>
      <c r="F7" s="21" t="n"/>
      <c r="H7" s="43" t="n"/>
      <c r="I7" s="34">
        <f>IF($H7="","",SUMIFS(Table_Exp[Ποσό],Table_Exp[Έργο],$H7,Table_Exp[Κατάσταση],"Πληρωμένο"))</f>
        <v/>
      </c>
      <c r="J7" s="34">
        <f>IF($H7="","",SUMIFS(Table_Exp[Ποσό],Table_Exp[Έργο],$H7,Table_Exp[Κατάσταση],"Εκκρεμεί"))</f>
        <v/>
      </c>
      <c r="K7" s="34">
        <f>IF($H7="","",I7+J7)</f>
        <v/>
      </c>
    </row>
    <row r="8" ht="18" customHeight="1">
      <c r="A8" s="21" t="n"/>
      <c r="B8" s="21" t="n"/>
      <c r="C8" s="21" t="n"/>
      <c r="D8" s="21" t="n"/>
      <c r="E8" s="21" t="n"/>
      <c r="F8" s="21" t="n"/>
      <c r="H8" s="43" t="n"/>
      <c r="I8" s="34">
        <f>IF($H8="","",SUMIFS(Table_Exp[Ποσό],Table_Exp[Έργο],$H8,Table_Exp[Κατάσταση],"Πληρωμένο"))</f>
        <v/>
      </c>
      <c r="J8" s="34">
        <f>IF($H8="","",SUMIFS(Table_Exp[Ποσό],Table_Exp[Έργο],$H8,Table_Exp[Κατάσταση],"Εκκρεμεί"))</f>
        <v/>
      </c>
      <c r="K8" s="34">
        <f>IF($H8="","",I8+J8)</f>
        <v/>
      </c>
    </row>
    <row r="9" ht="18" customHeight="1">
      <c r="A9" s="21" t="n"/>
      <c r="B9" s="21" t="n"/>
      <c r="C9" s="21" t="n"/>
      <c r="D9" s="21" t="n"/>
      <c r="E9" s="21" t="n"/>
      <c r="F9" s="21" t="n"/>
      <c r="H9" s="43" t="n"/>
      <c r="I9" s="34">
        <f>IF($H9="","",SUMIFS(Table_Exp[Ποσό],Table_Exp[Έργο],$H9,Table_Exp[Κατάσταση],"Πληρωμένο"))</f>
        <v/>
      </c>
      <c r="J9" s="34">
        <f>IF($H9="","",SUMIFS(Table_Exp[Ποσό],Table_Exp[Έργο],$H9,Table_Exp[Κατάσταση],"Εκκρεμεί"))</f>
        <v/>
      </c>
      <c r="K9" s="34">
        <f>IF($H9="","",I9+J9)</f>
        <v/>
      </c>
    </row>
    <row r="10" ht="18" customHeight="1">
      <c r="A10" s="21" t="n"/>
      <c r="B10" s="21" t="n"/>
      <c r="C10" s="21" t="n"/>
      <c r="D10" s="21" t="n"/>
      <c r="E10" s="21" t="n"/>
      <c r="F10" s="21" t="n"/>
      <c r="H10" s="43" t="n"/>
      <c r="I10" s="34">
        <f>IF($H10="","",SUMIFS(Table_Exp[Ποσό],Table_Exp[Έργο],$H10,Table_Exp[Κατάσταση],"Πληρωμένο"))</f>
        <v/>
      </c>
      <c r="J10" s="34">
        <f>IF($H10="","",SUMIFS(Table_Exp[Ποσό],Table_Exp[Έργο],$H10,Table_Exp[Κατάσταση],"Εκκρεμεί"))</f>
        <v/>
      </c>
      <c r="K10" s="34">
        <f>IF($H10="","",I10+J10)</f>
        <v/>
      </c>
    </row>
    <row r="11" ht="18" customHeight="1">
      <c r="A11" s="21" t="n"/>
      <c r="B11" s="21" t="n"/>
      <c r="C11" s="21" t="n"/>
      <c r="D11" s="21" t="n"/>
      <c r="E11" s="21" t="n"/>
      <c r="F11" s="21" t="n"/>
      <c r="H11" s="43" t="n"/>
      <c r="I11" s="34">
        <f>IF($H11="","",SUMIFS(Table_Exp[Ποσό],Table_Exp[Έργο],$H11,Table_Exp[Κατάσταση],"Πληρωμένο"))</f>
        <v/>
      </c>
      <c r="J11" s="34">
        <f>IF($H11="","",SUMIFS(Table_Exp[Ποσό],Table_Exp[Έργο],$H11,Table_Exp[Κατάσταση],"Εκκρεμεί"))</f>
        <v/>
      </c>
      <c r="K11" s="34">
        <f>IF($H11="","",I11+J11)</f>
        <v/>
      </c>
    </row>
    <row r="12" ht="18" customHeight="1">
      <c r="A12" s="47" t="inlineStr">
        <is>
          <t>Έργο</t>
        </is>
      </c>
      <c r="B12" s="47" t="inlineStr">
        <is>
          <t>Είδος / Περιγραφή</t>
        </is>
      </c>
      <c r="C12" s="47" t="inlineStr">
        <is>
          <t>Κατάσταση</t>
        </is>
      </c>
      <c r="D12" s="47" t="inlineStr">
        <is>
          <t>Πηγή</t>
        </is>
      </c>
      <c r="E12" s="47" t="inlineStr">
        <is>
          <t>Ποσό</t>
        </is>
      </c>
      <c r="F12" s="47" t="inlineStr">
        <is>
          <t>Σημειώσεις</t>
        </is>
      </c>
      <c r="H12" s="43" t="n"/>
      <c r="I12" s="34">
        <f>IF($H12="","",SUMIFS(Table_Exp[Ποσό],Table_Exp[Έργο],$H12,Table_Exp[Κατάσταση],"Πληρωμένο"))</f>
        <v/>
      </c>
      <c r="J12" s="34">
        <f>IF($H12="","",SUMIFS(Table_Exp[Ποσό],Table_Exp[Έργο],$H12,Table_Exp[Κατάσταση],"Εκκρεμεί"))</f>
        <v/>
      </c>
      <c r="K12" s="34">
        <f>IF($H12="","",I12+J12)</f>
        <v/>
      </c>
    </row>
    <row r="13" ht="18" customHeight="1">
      <c r="A13" s="48" t="inlineStr">
        <is>
          <t>Lazaraki 5</t>
        </is>
      </c>
      <c r="B13" s="49" t="inlineStr">
        <is>
          <t>Προκαταβολή Ενοικίου</t>
        </is>
      </c>
      <c r="C13" s="50" t="inlineStr">
        <is>
          <t>Πληρωμένο</t>
        </is>
      </c>
      <c r="D13" s="51" t="inlineStr">
        <is>
          <t>Τράπεζα Πειραιώς</t>
        </is>
      </c>
      <c r="E13" s="52" t="n">
        <v>5000</v>
      </c>
      <c r="F13" s="53" t="inlineStr"/>
      <c r="H13" s="43" t="n"/>
      <c r="I13" s="34">
        <f>IF($H13="","",SUMIFS(Table_Exp[Ποσό],Table_Exp[Έργο],$H13,Table_Exp[Κατάσταση],"Πληρωμένο"))</f>
        <v/>
      </c>
      <c r="J13" s="34">
        <f>IF($H13="","",SUMIFS(Table_Exp[Ποσό],Table_Exp[Έργο],$H13,Table_Exp[Κατάσταση],"Εκκρεμεί"))</f>
        <v/>
      </c>
      <c r="K13" s="34">
        <f>IF($H13="","",I13+J13)</f>
        <v/>
      </c>
    </row>
    <row r="14" ht="18" customHeight="1">
      <c r="A14" s="48" t="inlineStr">
        <is>
          <t>Lazaraki 5</t>
        </is>
      </c>
      <c r="B14" s="49" t="inlineStr">
        <is>
          <t>Προκαταβολή Ενοικίου</t>
        </is>
      </c>
      <c r="C14" s="50" t="inlineStr">
        <is>
          <t>Πληρωμένο</t>
        </is>
      </c>
      <c r="D14" s="51" t="inlineStr">
        <is>
          <t>Μετρητά</t>
        </is>
      </c>
      <c r="E14" s="52" t="n">
        <v>1000</v>
      </c>
      <c r="F14" s="53" t="inlineStr"/>
      <c r="H14" s="43" t="n"/>
      <c r="I14" s="34">
        <f>IF($H14="","",SUMIFS(Table_Exp[Ποσό],Table_Exp[Έργο],$H14,Table_Exp[Κατάσταση],"Πληρωμένο"))</f>
        <v/>
      </c>
      <c r="J14" s="34">
        <f>IF($H14="","",SUMIFS(Table_Exp[Ποσό],Table_Exp[Έργο],$H14,Table_Exp[Κατάσταση],"Εκκρεμεί"))</f>
        <v/>
      </c>
      <c r="K14" s="34">
        <f>IF($H14="","",I14+J14)</f>
        <v/>
      </c>
    </row>
    <row r="15" ht="20" customHeight="1">
      <c r="A15" s="48" t="inlineStr">
        <is>
          <t>Lazaraki 5</t>
        </is>
      </c>
      <c r="B15" s="49" t="inlineStr">
        <is>
          <t>Κατεδάφιση (Γκρεμίσματα)</t>
        </is>
      </c>
      <c r="C15" s="50" t="inlineStr">
        <is>
          <t>Πληρωμένο</t>
        </is>
      </c>
      <c r="D15" s="51" t="inlineStr">
        <is>
          <t>Μετρητά</t>
        </is>
      </c>
      <c r="E15" s="52" t="n">
        <v>2400</v>
      </c>
      <c r="F15" s="53" t="inlineStr">
        <is>
          <t>+ εκκρεμούν ποσά προς καθορισμό</t>
        </is>
      </c>
      <c r="H15" s="54" t="inlineStr">
        <is>
          <t>ΣΥΝΟΛΟ ΟΛΩΝ</t>
        </is>
      </c>
      <c r="I15" s="55">
        <f>SUM(I3:I14)</f>
        <v/>
      </c>
      <c r="J15" s="55">
        <f>SUM(J3:J14)</f>
        <v/>
      </c>
      <c r="K15" s="55">
        <f>SUM(K3:K14)</f>
        <v/>
      </c>
    </row>
    <row r="16" ht="18" customHeight="1">
      <c r="A16" s="48" t="inlineStr">
        <is>
          <t>Lazaraki 5</t>
        </is>
      </c>
      <c r="B16" s="49" t="inlineStr">
        <is>
          <t>Θέρμανση / Μπάνιο</t>
        </is>
      </c>
      <c r="C16" s="50" t="inlineStr">
        <is>
          <t>Πληρωμένο</t>
        </is>
      </c>
      <c r="D16" s="51" t="inlineStr">
        <is>
          <t>Μετρητά</t>
        </is>
      </c>
      <c r="E16" s="52" t="n">
        <v>1020</v>
      </c>
      <c r="F16" s="53" t="inlineStr">
        <is>
          <t>+ εκκρεμούν ποσά προς καθορισμό</t>
        </is>
      </c>
    </row>
    <row r="17" ht="18" customHeight="1">
      <c r="A17" s="48" t="inlineStr">
        <is>
          <t>Lazaraki 5</t>
        </is>
      </c>
      <c r="B17" s="49" t="inlineStr">
        <is>
          <t>Μηχανικός / Πιστοποιητικά</t>
        </is>
      </c>
      <c r="C17" s="50" t="inlineStr">
        <is>
          <t>Πληρωμένο</t>
        </is>
      </c>
      <c r="D17" s="51" t="inlineStr">
        <is>
          <t>Μετρητά</t>
        </is>
      </c>
      <c r="E17" s="52" t="n">
        <v>350</v>
      </c>
      <c r="F17" s="53" t="inlineStr">
        <is>
          <t>Ολοκληρώθηκε</t>
        </is>
      </c>
    </row>
    <row r="18" ht="18" customHeight="1">
      <c r="A18" s="48" t="inlineStr">
        <is>
          <t>Lazaraki 5</t>
        </is>
      </c>
      <c r="B18" s="49" t="inlineStr">
        <is>
          <t>ΕΟΤ Ορέστης</t>
        </is>
      </c>
      <c r="C18" s="50" t="inlineStr">
        <is>
          <t>Πληρωμένο</t>
        </is>
      </c>
      <c r="D18" s="51" t="inlineStr">
        <is>
          <t>Μετρητά</t>
        </is>
      </c>
      <c r="E18" s="52" t="n">
        <v>2000</v>
      </c>
      <c r="F18" s="53" t="inlineStr">
        <is>
          <t>€1.000 προκαταβολή + €1.000 υπόλοιπο</t>
        </is>
      </c>
    </row>
    <row r="19" ht="18" customHeight="1">
      <c r="A19" s="48" t="inlineStr">
        <is>
          <t>Lazaraki 5</t>
        </is>
      </c>
      <c r="B19" s="49" t="inlineStr">
        <is>
          <t>Αρχιτέκτονες</t>
        </is>
      </c>
      <c r="C19" s="50" t="inlineStr">
        <is>
          <t>Πληρωμένο</t>
        </is>
      </c>
      <c r="D19" s="51" t="inlineStr">
        <is>
          <t>Μετρητά</t>
        </is>
      </c>
      <c r="E19" s="52" t="n">
        <v>4000</v>
      </c>
      <c r="F19" s="53" t="inlineStr"/>
    </row>
    <row r="20" ht="18" customHeight="1">
      <c r="A20" s="48" t="inlineStr">
        <is>
          <t>Lazaraki 5</t>
        </is>
      </c>
      <c r="B20" s="49" t="inlineStr">
        <is>
          <t>Λογιστής (Άκης)</t>
        </is>
      </c>
      <c r="C20" s="50" t="inlineStr">
        <is>
          <t>Πληρωμένο</t>
        </is>
      </c>
      <c r="D20" s="51" t="inlineStr">
        <is>
          <t>Μετρητά</t>
        </is>
      </c>
      <c r="E20" s="52" t="n">
        <v>500</v>
      </c>
      <c r="F20" s="53" t="inlineStr"/>
    </row>
    <row r="21" ht="18" customHeight="1">
      <c r="A21" s="48" t="inlineStr">
        <is>
          <t>Lazaraki 5</t>
        </is>
      </c>
      <c r="B21" s="49" t="inlineStr">
        <is>
          <t>Κοινόχρηστα</t>
        </is>
      </c>
      <c r="C21" s="50" t="inlineStr">
        <is>
          <t>Πληρωμένο</t>
        </is>
      </c>
      <c r="D21" s="51" t="inlineStr">
        <is>
          <t>Μετρητά</t>
        </is>
      </c>
      <c r="E21" s="52" t="n">
        <v>290</v>
      </c>
      <c r="F21" s="53" t="inlineStr"/>
    </row>
    <row r="22" ht="18" customHeight="1">
      <c r="A22" s="48" t="inlineStr">
        <is>
          <t>Lazaraki 5</t>
        </is>
      </c>
      <c r="B22" s="49" t="inlineStr">
        <is>
          <t>Φόρος Ιδιοκτήτη (Εφορία)</t>
        </is>
      </c>
      <c r="C22" s="56" t="inlineStr">
        <is>
          <t>Εκκρεμεί</t>
        </is>
      </c>
      <c r="D22" s="51" t="inlineStr">
        <is>
          <t>Τράπεζα Πειραιώς</t>
        </is>
      </c>
      <c r="E22" s="52" t="n">
        <v>39000</v>
      </c>
      <c r="F22" s="53" t="inlineStr"/>
    </row>
    <row r="23" ht="18" customHeight="1">
      <c r="A23" s="48" t="inlineStr">
        <is>
          <t>Lazaraki 5</t>
        </is>
      </c>
      <c r="B23" s="49" t="inlineStr">
        <is>
          <t>Συμβολαιογράφος + Δικηγόρος</t>
        </is>
      </c>
      <c r="C23" s="56" t="inlineStr">
        <is>
          <t>Εκκρεμεί</t>
        </is>
      </c>
      <c r="D23" s="51" t="inlineStr">
        <is>
          <t>Τράπεζα Πειραιώς</t>
        </is>
      </c>
      <c r="E23" s="52" t="n">
        <v>20000</v>
      </c>
      <c r="F23" s="53" t="inlineStr"/>
    </row>
    <row r="24" ht="18" customHeight="1">
      <c r="A24" s="48" t="inlineStr">
        <is>
          <t>Lazaraki 5</t>
        </is>
      </c>
      <c r="B24" s="49" t="inlineStr">
        <is>
          <t>Συμβολαιογράφος + Δικηγόρος</t>
        </is>
      </c>
      <c r="C24" s="56" t="inlineStr">
        <is>
          <t>Εκκρεμεί</t>
        </is>
      </c>
      <c r="D24" s="51" t="inlineStr">
        <is>
          <t>Μετρητά</t>
        </is>
      </c>
      <c r="E24" s="52" t="n">
        <v>10000</v>
      </c>
      <c r="F24" s="53" t="inlineStr"/>
    </row>
    <row r="25" ht="18" customHeight="1">
      <c r="A25" s="48" t="inlineStr">
        <is>
          <t>Lazaraki 5</t>
        </is>
      </c>
      <c r="B25" s="49" t="inlineStr">
        <is>
          <t>Κεφάλαιο για Δάνειο</t>
        </is>
      </c>
      <c r="C25" s="56" t="inlineStr">
        <is>
          <t>Εκκρεμεί</t>
        </is>
      </c>
      <c r="D25" s="51" t="inlineStr">
        <is>
          <t>Προς καθορισμό</t>
        </is>
      </c>
      <c r="E25" s="52" t="n">
        <v>350000</v>
      </c>
      <c r="F25" s="53" t="inlineStr">
        <is>
          <t>Απαιτείται για εκταμίευση δανείου TEPIX</t>
        </is>
      </c>
    </row>
    <row r="26" ht="18" customHeight="1">
      <c r="A26" s="48" t="inlineStr">
        <is>
          <t>Lazaraki 5</t>
        </is>
      </c>
      <c r="B26" s="49" t="inlineStr">
        <is>
          <t>ΦΠΑ Κατασκευής</t>
        </is>
      </c>
      <c r="C26" s="56" t="inlineStr">
        <is>
          <t>Εκκρεμεί</t>
        </is>
      </c>
      <c r="D26" s="51" t="inlineStr">
        <is>
          <t>Προς καθορισμό</t>
        </is>
      </c>
      <c r="E26" s="52" t="n">
        <v>290000</v>
      </c>
      <c r="F26" s="53" t="inlineStr">
        <is>
          <t>Εκτίμηση</t>
        </is>
      </c>
    </row>
    <row r="27" ht="18" customHeight="1">
      <c r="A27" s="48" t="inlineStr">
        <is>
          <t>Lazaraki 5</t>
        </is>
      </c>
      <c r="B27" s="49" t="inlineStr">
        <is>
          <t>Προσφορά 4ου Ορόφου</t>
        </is>
      </c>
      <c r="C27" s="56" t="inlineStr">
        <is>
          <t>Εκκρεμεί</t>
        </is>
      </c>
      <c r="D27" s="51" t="inlineStr">
        <is>
          <t>Προς καθορισμό</t>
        </is>
      </c>
      <c r="E27" s="52" t="n">
        <v>50000</v>
      </c>
      <c r="F27" s="53" t="inlineStr"/>
    </row>
    <row r="28" ht="18" customHeight="1">
      <c r="A28" s="57" t="inlineStr">
        <is>
          <t>Agiou Konstantinou</t>
        </is>
      </c>
      <c r="B28" s="49" t="inlineStr">
        <is>
          <t>Προκαταβολή Φόρου (Εφορία)</t>
        </is>
      </c>
      <c r="C28" s="56" t="inlineStr">
        <is>
          <t>Εκκρεμεί</t>
        </is>
      </c>
      <c r="D28" s="51" t="inlineStr">
        <is>
          <t>Τράπεζα Πειραιώς</t>
        </is>
      </c>
      <c r="E28" s="52" t="n">
        <v>17300</v>
      </c>
      <c r="F28" s="53" t="inlineStr"/>
    </row>
    <row r="29" ht="18" customHeight="1">
      <c r="A29" s="57" t="inlineStr">
        <is>
          <t>Agiou Konstantinou</t>
        </is>
      </c>
      <c r="B29" s="49" t="inlineStr">
        <is>
          <t>Προκαταβολή Φόρου (Εφορία)</t>
        </is>
      </c>
      <c r="C29" s="56" t="inlineStr">
        <is>
          <t>Εκκρεμεί</t>
        </is>
      </c>
      <c r="D29" s="51" t="inlineStr">
        <is>
          <t>Τράπεζα Πειραιώς</t>
        </is>
      </c>
      <c r="E29" s="52" t="n">
        <v>1450</v>
      </c>
      <c r="F29" s="53" t="inlineStr"/>
    </row>
    <row r="30" ht="18" customHeight="1">
      <c r="A30" s="57" t="inlineStr">
        <is>
          <t>Agiou Konstantinou</t>
        </is>
      </c>
      <c r="B30" s="49" t="inlineStr">
        <is>
          <t>Νεκταρία</t>
        </is>
      </c>
      <c r="C30" s="56" t="inlineStr">
        <is>
          <t>Εκκρεμεί</t>
        </is>
      </c>
      <c r="D30" s="51" t="inlineStr">
        <is>
          <t>Μετρητά</t>
        </is>
      </c>
      <c r="E30" s="52" t="n">
        <v>50000</v>
      </c>
      <c r="F30" s="53" t="inlineStr"/>
    </row>
    <row r="31" ht="18" customHeight="1">
      <c r="A31" s="57" t="inlineStr">
        <is>
          <t>Agiou Konstantinou</t>
        </is>
      </c>
      <c r="B31" s="49" t="inlineStr">
        <is>
          <t>Συμβολαιογράφος / Δικηγόρος</t>
        </is>
      </c>
      <c r="C31" s="56" t="inlineStr">
        <is>
          <t>Εκκρεμεί</t>
        </is>
      </c>
      <c r="D31" s="51" t="inlineStr">
        <is>
          <t>Μετρητά</t>
        </is>
      </c>
      <c r="E31" s="52" t="n">
        <v>5000</v>
      </c>
      <c r="F31" s="53" t="inlineStr"/>
    </row>
    <row r="32" ht="18" customHeight="1">
      <c r="A32" s="57" t="inlineStr">
        <is>
          <t>Agiou Konstantinou</t>
        </is>
      </c>
      <c r="B32" s="49" t="inlineStr">
        <is>
          <t>Κατασκευή</t>
        </is>
      </c>
      <c r="C32" s="56" t="inlineStr">
        <is>
          <t>Εκκρεμεί</t>
        </is>
      </c>
      <c r="D32" s="51" t="inlineStr">
        <is>
          <t>Προς καθορισμό</t>
        </is>
      </c>
      <c r="E32" s="52" t="n">
        <v>80000</v>
      </c>
      <c r="F32" s="53" t="inlineStr"/>
    </row>
    <row r="33" ht="18" customHeight="1">
      <c r="A33" s="58" t="n"/>
      <c r="B33" s="59" t="n"/>
      <c r="C33" s="58" t="n"/>
      <c r="D33" s="58" t="n"/>
      <c r="E33" s="60" t="n"/>
      <c r="F33" s="59" t="n"/>
    </row>
    <row r="34" ht="18" customHeight="1">
      <c r="A34" s="58" t="n"/>
      <c r="B34" s="59" t="n"/>
      <c r="C34" s="58" t="n"/>
      <c r="D34" s="58" t="n"/>
      <c r="E34" s="60" t="n"/>
      <c r="F34" s="59" t="n"/>
    </row>
    <row r="35" ht="18" customHeight="1">
      <c r="A35" s="58" t="n"/>
      <c r="B35" s="59" t="n"/>
      <c r="C35" s="58" t="n"/>
      <c r="D35" s="58" t="n"/>
      <c r="E35" s="60" t="n"/>
      <c r="F35" s="59" t="n"/>
    </row>
    <row r="36" ht="18" customHeight="1">
      <c r="A36" s="58" t="n"/>
      <c r="B36" s="59" t="n"/>
      <c r="C36" s="58" t="n"/>
      <c r="D36" s="58" t="n"/>
      <c r="E36" s="60" t="n"/>
      <c r="F36" s="59" t="n"/>
    </row>
    <row r="37" ht="18" customHeight="1">
      <c r="A37" s="58" t="n"/>
      <c r="B37" s="59" t="n"/>
      <c r="C37" s="58" t="n"/>
      <c r="D37" s="58" t="n"/>
      <c r="E37" s="60" t="n"/>
      <c r="F37" s="59" t="n"/>
    </row>
    <row r="38" ht="18" customHeight="1">
      <c r="A38" s="58" t="n"/>
      <c r="B38" s="59" t="n"/>
      <c r="C38" s="58" t="n"/>
      <c r="D38" s="58" t="n"/>
      <c r="E38" s="60" t="n"/>
      <c r="F38" s="59" t="n"/>
    </row>
    <row r="39" ht="18" customHeight="1">
      <c r="A39" s="58" t="n"/>
      <c r="B39" s="59" t="n"/>
      <c r="C39" s="58" t="n"/>
      <c r="D39" s="58" t="n"/>
      <c r="E39" s="60" t="n"/>
      <c r="F39" s="59" t="n"/>
    </row>
    <row r="40" ht="18" customHeight="1">
      <c r="A40" s="58" t="n"/>
      <c r="B40" s="59" t="n"/>
      <c r="C40" s="58" t="n"/>
      <c r="D40" s="58" t="n"/>
      <c r="E40" s="60" t="n"/>
      <c r="F40" s="59" t="n"/>
    </row>
    <row r="41" ht="18" customHeight="1">
      <c r="A41" s="58" t="n"/>
      <c r="B41" s="59" t="n"/>
      <c r="C41" s="58" t="n"/>
      <c r="D41" s="58" t="n"/>
      <c r="E41" s="60" t="n"/>
      <c r="F41" s="59" t="n"/>
    </row>
    <row r="42" ht="18" customHeight="1">
      <c r="A42" s="58" t="n"/>
      <c r="B42" s="59" t="n"/>
      <c r="C42" s="58" t="n"/>
      <c r="D42" s="58" t="n"/>
      <c r="E42" s="60" t="n"/>
      <c r="F42" s="59" t="n"/>
    </row>
    <row r="43" ht="18" customHeight="1">
      <c r="A43" s="58" t="n"/>
      <c r="B43" s="59" t="n"/>
      <c r="C43" s="58" t="n"/>
      <c r="D43" s="58" t="n"/>
      <c r="E43" s="60" t="n"/>
      <c r="F43" s="59" t="n"/>
    </row>
    <row r="44" ht="18" customHeight="1">
      <c r="A44" s="58" t="n"/>
      <c r="B44" s="59" t="n"/>
      <c r="C44" s="58" t="n"/>
      <c r="D44" s="58" t="n"/>
      <c r="E44" s="60" t="n"/>
      <c r="F44" s="59" t="n"/>
    </row>
    <row r="45" ht="18" customHeight="1">
      <c r="A45" s="58" t="n"/>
      <c r="B45" s="59" t="n"/>
      <c r="C45" s="58" t="n"/>
      <c r="D45" s="58" t="n"/>
      <c r="E45" s="60" t="n"/>
      <c r="F45" s="59" t="n"/>
    </row>
    <row r="46" ht="18" customHeight="1">
      <c r="A46" s="58" t="n"/>
      <c r="B46" s="59" t="n"/>
      <c r="C46" s="58" t="n"/>
      <c r="D46" s="58" t="n"/>
      <c r="E46" s="60" t="n"/>
      <c r="F46" s="59" t="n"/>
    </row>
    <row r="47" ht="18" customHeight="1">
      <c r="A47" s="58" t="n"/>
      <c r="B47" s="59" t="n"/>
      <c r="C47" s="58" t="n"/>
      <c r="D47" s="58" t="n"/>
      <c r="E47" s="60" t="n"/>
      <c r="F47" s="59" t="n"/>
    </row>
    <row r="48" ht="18" customHeight="1">
      <c r="A48" s="58" t="n"/>
      <c r="B48" s="59" t="n"/>
      <c r="C48" s="58" t="n"/>
      <c r="D48" s="58" t="n"/>
      <c r="E48" s="60" t="n"/>
      <c r="F48" s="59" t="n"/>
    </row>
    <row r="49" ht="18" customHeight="1">
      <c r="A49" s="58" t="n"/>
      <c r="B49" s="59" t="n"/>
      <c r="C49" s="58" t="n"/>
      <c r="D49" s="58" t="n"/>
      <c r="E49" s="60" t="n"/>
      <c r="F49" s="59" t="n"/>
    </row>
    <row r="50" ht="18" customHeight="1">
      <c r="A50" s="58" t="n"/>
      <c r="B50" s="59" t="n"/>
      <c r="C50" s="58" t="n"/>
      <c r="D50" s="58" t="n"/>
      <c r="E50" s="60" t="n"/>
      <c r="F50" s="59" t="n"/>
    </row>
    <row r="51" ht="18" customHeight="1">
      <c r="A51" s="58" t="n"/>
      <c r="B51" s="59" t="n"/>
      <c r="C51" s="58" t="n"/>
      <c r="D51" s="58" t="n"/>
      <c r="E51" s="60" t="n"/>
      <c r="F51" s="59" t="n"/>
    </row>
    <row r="52" ht="18" customHeight="1">
      <c r="A52" s="58" t="n"/>
      <c r="B52" s="59" t="n"/>
      <c r="C52" s="58" t="n"/>
      <c r="D52" s="58" t="n"/>
      <c r="E52" s="60" t="n"/>
      <c r="F52" s="59" t="n"/>
    </row>
    <row r="53" ht="18" customHeight="1">
      <c r="A53" s="58" t="n"/>
      <c r="B53" s="59" t="n"/>
      <c r="C53" s="58" t="n"/>
      <c r="D53" s="58" t="n"/>
      <c r="E53" s="60" t="n"/>
      <c r="F53" s="59" t="n"/>
    </row>
    <row r="54" ht="18" customHeight="1">
      <c r="A54" s="58" t="n"/>
      <c r="B54" s="59" t="n"/>
      <c r="C54" s="58" t="n"/>
      <c r="D54" s="58" t="n"/>
      <c r="E54" s="60" t="n"/>
      <c r="F54" s="59" t="n"/>
    </row>
    <row r="55" ht="18" customHeight="1">
      <c r="A55" s="58" t="n"/>
      <c r="B55" s="59" t="n"/>
      <c r="C55" s="58" t="n"/>
      <c r="D55" s="58" t="n"/>
      <c r="E55" s="60" t="n"/>
      <c r="F55" s="59" t="n"/>
    </row>
    <row r="56" ht="18" customHeight="1">
      <c r="A56" s="58" t="n"/>
      <c r="B56" s="59" t="n"/>
      <c r="C56" s="58" t="n"/>
      <c r="D56" s="58" t="n"/>
      <c r="E56" s="60" t="n"/>
      <c r="F56" s="59" t="n"/>
    </row>
    <row r="57" ht="18" customHeight="1">
      <c r="A57" s="58" t="n"/>
      <c r="B57" s="59" t="n"/>
      <c r="C57" s="58" t="n"/>
      <c r="D57" s="58" t="n"/>
      <c r="E57" s="60" t="n"/>
      <c r="F57" s="59" t="n"/>
    </row>
    <row r="58" ht="18" customHeight="1">
      <c r="A58" s="58" t="n"/>
      <c r="B58" s="59" t="n"/>
      <c r="C58" s="58" t="n"/>
      <c r="D58" s="58" t="n"/>
      <c r="E58" s="60" t="n"/>
      <c r="F58" s="59" t="n"/>
    </row>
    <row r="59" ht="18" customHeight="1">
      <c r="A59" s="58" t="n"/>
      <c r="B59" s="59" t="n"/>
      <c r="C59" s="58" t="n"/>
      <c r="D59" s="58" t="n"/>
      <c r="E59" s="60" t="n"/>
      <c r="F59" s="59" t="n"/>
    </row>
    <row r="60" ht="18" customHeight="1">
      <c r="A60" s="58" t="n"/>
      <c r="B60" s="59" t="n"/>
      <c r="C60" s="58" t="n"/>
      <c r="D60" s="58" t="n"/>
      <c r="E60" s="60" t="n"/>
      <c r="F60" s="59" t="n"/>
    </row>
    <row r="61" ht="18" customHeight="1">
      <c r="A61" s="58" t="n"/>
      <c r="B61" s="59" t="n"/>
      <c r="C61" s="58" t="n"/>
      <c r="D61" s="58" t="n"/>
      <c r="E61" s="60" t="n"/>
      <c r="F61" s="59" t="n"/>
    </row>
    <row r="62" ht="18" customHeight="1">
      <c r="A62" s="58" t="n"/>
      <c r="B62" s="59" t="n"/>
      <c r="C62" s="58" t="n"/>
      <c r="D62" s="58" t="n"/>
      <c r="E62" s="60" t="n"/>
      <c r="F62" s="59" t="n"/>
    </row>
    <row r="63" ht="22" customHeight="1">
      <c r="A63" s="61" t="inlineStr">
        <is>
          <t xml:space="preserve">  Συμβουλή: Επιλέξτε τα κίτρινα κελιά για λίστες.  Πατήστε Tab από την τελευταία γραμμή για αυτόματη προσθήκη νέας γραμμής.</t>
        </is>
      </c>
    </row>
  </sheetData>
  <mergeCells count="4">
    <mergeCell ref="A3:F3"/>
    <mergeCell ref="H1:K1"/>
    <mergeCell ref="A63:F63"/>
    <mergeCell ref="A1:F1"/>
  </mergeCells>
  <dataValidations count="3">
    <dataValidation sqref="A13:A62" showDropDown="0" showInputMessage="0" showErrorMessage="0" allowBlank="1" type="list">
      <formula1>$H$3:$H$14</formula1>
    </dataValidation>
    <dataValidation sqref="C13:C62" showDropDown="0" showInputMessage="0" showErrorMessage="0" allowBlank="1" type="list">
      <formula1>"Πληρωμένο,Εκκρεμεί,Σε αναμονή"</formula1>
    </dataValidation>
    <dataValidation sqref="D13:D62" showDropDown="0" showInputMessage="0" showErrorMessage="0" allowBlank="1" type="list">
      <formula1>"Optima Bank,Τράπεζα Πειραιώς,Μετρητά,Χρυσός,Προς καθορισμό"</formula1>
    </dataValidation>
  </dataValidations>
  <pageMargins left="0.75" right="0.75" top="1" bottom="1" header="0.5" footer="0.5"/>
  <tableParts count="1">
    <tablePart xmlns:r="http://schemas.openxmlformats.org/officeDocument/2006/relationships" r:id="rId1"/>
  </tableParts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D40"/>
  <sheetViews>
    <sheetView showGridLines="0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30" customWidth="1" min="1" max="1"/>
    <col width="18" customWidth="1" min="2" max="2"/>
    <col width="16" customWidth="1" min="3" max="3"/>
    <col width="28" customWidth="1" min="4" max="4"/>
  </cols>
  <sheetData>
    <row r="1" ht="34" customHeight="1">
      <c r="A1" s="29" t="inlineStr">
        <is>
          <t xml:space="preserve">  ΛΟΓΑΡΙΑΣΜΟΙ &amp; ΥΠΟΛΟΙΠΑ</t>
        </is>
      </c>
    </row>
    <row r="2" ht="8" customHeight="1">
      <c r="A2" s="21" t="n"/>
      <c r="B2" s="21" t="n"/>
      <c r="C2" s="21" t="n"/>
      <c r="D2" s="21" t="n"/>
    </row>
    <row r="3" ht="24" customHeight="1">
      <c r="A3" s="62" t="inlineStr">
        <is>
          <t xml:space="preserve">  ΤΑ ΧΡΗΜΑΤΑ ΣΑΣ ΣΗΜΕΡΑ</t>
        </is>
      </c>
    </row>
    <row r="4">
      <c r="A4" s="31" t="inlineStr">
        <is>
          <t>Λογαριασμός</t>
        </is>
      </c>
      <c r="B4" s="31" t="inlineStr">
        <is>
          <t>Υπόλοιπο (€)</t>
        </is>
      </c>
      <c r="C4" s="31" t="inlineStr">
        <is>
          <t>Τελευταία Ενημέρωση</t>
        </is>
      </c>
      <c r="D4" s="31" t="inlineStr">
        <is>
          <t>Σημειώσεις</t>
        </is>
      </c>
    </row>
    <row r="5" ht="22" customHeight="1">
      <c r="A5" s="63" t="inlineStr">
        <is>
          <t>Optima Bank</t>
        </is>
      </c>
      <c r="B5" s="64" t="n">
        <v>135000</v>
      </c>
      <c r="C5" s="63" t="inlineStr"/>
      <c r="D5" s="63" t="inlineStr"/>
    </row>
    <row r="6" ht="22" customHeight="1">
      <c r="A6" s="63" t="inlineStr">
        <is>
          <t>Τράπεζα Πειραιώς</t>
        </is>
      </c>
      <c r="B6" s="64" t="n">
        <v>30000</v>
      </c>
      <c r="C6" s="63" t="inlineStr"/>
      <c r="D6" s="63" t="inlineStr"/>
    </row>
    <row r="7" ht="22" customHeight="1">
      <c r="A7" s="63" t="inlineStr">
        <is>
          <t>Μετρητά (φυσικά)</t>
        </is>
      </c>
      <c r="B7" s="64" t="n">
        <v>220000</v>
      </c>
      <c r="C7" s="63" t="inlineStr"/>
      <c r="D7" s="63" t="inlineStr">
        <is>
          <t>Κρατήστε ενημερωμένο</t>
        </is>
      </c>
    </row>
    <row r="8" ht="22" customHeight="1">
      <c r="A8" s="63" t="inlineStr">
        <is>
          <t>Χρυσός (εκτ. αξία)</t>
        </is>
      </c>
      <c r="B8" s="64" t="n">
        <v>250000</v>
      </c>
      <c r="C8" s="63" t="inlineStr"/>
      <c r="D8" s="63" t="inlineStr">
        <is>
          <t>Εκτιμώμενη αγοραία αξία</t>
        </is>
      </c>
    </row>
    <row r="9" ht="8" customHeight="1">
      <c r="A9" s="21" t="n"/>
      <c r="B9" s="21" t="n"/>
      <c r="C9" s="21" t="n"/>
      <c r="D9" s="21" t="n"/>
    </row>
    <row r="10" ht="30" customHeight="1">
      <c r="A10" s="65" t="inlineStr">
        <is>
          <t>ΣΥΝΟΛΟ ΣΗΜΕΡΑ (Επιβεβαιωμένα)</t>
        </is>
      </c>
      <c r="B10" s="15">
        <f>SUM(B5:B8)+SUM(B23:B32)</f>
        <v/>
      </c>
      <c r="C10" s="45" t="n"/>
      <c r="D10" s="45" t="n"/>
    </row>
    <row r="11" ht="16" customHeight="1">
      <c r="A11" s="21" t="n"/>
      <c r="B11" s="21" t="n"/>
      <c r="C11" s="21" t="n"/>
      <c r="D11" s="21" t="n"/>
    </row>
    <row r="12" ht="8" customHeight="1">
      <c r="A12" s="21" t="n"/>
      <c r="B12" s="21" t="n"/>
      <c r="C12" s="21" t="n"/>
      <c r="D12" s="21" t="n"/>
    </row>
    <row r="13" ht="24" customHeight="1">
      <c r="A13" s="62" t="inlineStr">
        <is>
          <t xml:space="preserve">  ΕΙΣΕΡΧΟΜΕΝΑ ΚΕΦΑΛΑΙΑ  (δεν έχουν εισπραχθεί)</t>
        </is>
      </c>
    </row>
    <row r="14" ht="28" customHeight="1">
      <c r="A14" s="66" t="inlineStr">
        <is>
          <t>Δάνειο TEPIX  (ΜΟΝΟ LAZARAKI — Πειραιώς)</t>
        </is>
      </c>
      <c r="B14" s="64" t="n">
        <v>850000</v>
      </c>
      <c r="C14" s="56" t="inlineStr">
        <is>
          <t>Εκκρεμεί</t>
        </is>
      </c>
      <c r="D14" s="67" t="inlineStr">
        <is>
          <t>Αποκλειστικά για την ανακαίνιση Lazaraki</t>
        </is>
      </c>
    </row>
    <row r="15" ht="22" customHeight="1">
      <c r="A15" s="63" t="inlineStr">
        <is>
          <t>Αναμενόμενα (άλλα εισερχόμενα)</t>
        </is>
      </c>
      <c r="B15" s="64" t="n">
        <v>260000</v>
      </c>
      <c r="C15" s="56" t="inlineStr">
        <is>
          <t>Εκκρεμεί</t>
        </is>
      </c>
      <c r="D15" s="63" t="inlineStr"/>
    </row>
    <row r="16" ht="8" customHeight="1">
      <c r="A16" s="21" t="n"/>
      <c r="B16" s="21" t="n"/>
      <c r="C16" s="21" t="n"/>
      <c r="D16" s="21" t="n"/>
    </row>
    <row r="17" ht="30" customHeight="1">
      <c r="A17" s="65" t="inlineStr">
        <is>
          <t>ΣΥΝΟΛΟ ΕΙΣΕΡΧΟΜΕΝΩΝ (αν εισπραχθούν όλα)</t>
        </is>
      </c>
      <c r="B17" s="15">
        <f>SUM(B14:B15)+SUM(B36:B40)</f>
        <v/>
      </c>
      <c r="C17" s="45" t="n"/>
      <c r="D17" s="45" t="n"/>
    </row>
    <row r="18" ht="12" customHeight="1">
      <c r="A18" s="21" t="n"/>
      <c r="B18" s="21" t="n"/>
      <c r="C18" s="21" t="n"/>
      <c r="D18" s="21" t="n"/>
    </row>
    <row r="19" ht="20" customHeight="1">
      <c r="A19" s="61" t="inlineStr">
        <is>
          <t xml:space="preserve">  Συμβουλή: Ενημερώνετε τα κίτρινα κελιά όταν αλλάζουν τα υπόλοιπα.  Αλλάξτε την κατάσταση TEPIX σε 'Ελήφθη' όταν φτάσουν τα χρήματα.</t>
        </is>
      </c>
    </row>
    <row r="20" ht="14" customHeight="1">
      <c r="A20" s="21" t="n"/>
      <c r="B20" s="21" t="n"/>
      <c r="C20" s="21" t="n"/>
      <c r="D20" s="21" t="n"/>
    </row>
    <row r="21" ht="24" customHeight="1">
      <c r="A21" s="62" t="inlineStr">
        <is>
          <t xml:space="preserve">  ΕΞΤΡΑ ΛΟΓΑΡΙΑΣΜΟΙ (πρόσθεσε εδώ)</t>
        </is>
      </c>
    </row>
    <row r="22">
      <c r="A22" s="31" t="inlineStr">
        <is>
          <t>Λογαριασμός</t>
        </is>
      </c>
      <c r="B22" s="31" t="inlineStr">
        <is>
          <t>Υπόλοιπο (€)</t>
        </is>
      </c>
      <c r="C22" s="31" t="inlineStr">
        <is>
          <t>Τελευταία Ενημέρωση</t>
        </is>
      </c>
      <c r="D22" s="31" t="inlineStr">
        <is>
          <t>Σημειώσεις</t>
        </is>
      </c>
    </row>
    <row r="23" ht="20" customHeight="1">
      <c r="A23" s="68" t="n"/>
      <c r="B23" s="64" t="n"/>
      <c r="C23" s="63" t="inlineStr"/>
      <c r="D23" s="63" t="inlineStr"/>
    </row>
    <row r="24" ht="20" customHeight="1">
      <c r="A24" s="68" t="n"/>
      <c r="B24" s="64" t="n"/>
      <c r="C24" s="63" t="inlineStr"/>
      <c r="D24" s="63" t="inlineStr"/>
    </row>
    <row r="25" ht="20" customHeight="1">
      <c r="A25" s="68" t="n"/>
      <c r="B25" s="64" t="n"/>
      <c r="C25" s="63" t="inlineStr"/>
      <c r="D25" s="63" t="inlineStr"/>
    </row>
    <row r="26" ht="20" customHeight="1">
      <c r="A26" s="68" t="n"/>
      <c r="B26" s="64" t="n"/>
      <c r="C26" s="63" t="inlineStr"/>
      <c r="D26" s="63" t="inlineStr"/>
    </row>
    <row r="27" ht="20" customHeight="1">
      <c r="A27" s="68" t="n"/>
      <c r="B27" s="64" t="n"/>
      <c r="C27" s="63" t="inlineStr"/>
      <c r="D27" s="63" t="inlineStr"/>
    </row>
    <row r="28" ht="20" customHeight="1">
      <c r="A28" s="68" t="n"/>
      <c r="B28" s="64" t="n"/>
      <c r="C28" s="63" t="inlineStr"/>
      <c r="D28" s="63" t="inlineStr"/>
    </row>
    <row r="29" ht="20" customHeight="1">
      <c r="A29" s="68" t="n"/>
      <c r="B29" s="64" t="n"/>
      <c r="C29" s="63" t="inlineStr"/>
      <c r="D29" s="63" t="inlineStr"/>
    </row>
    <row r="30" ht="20" customHeight="1">
      <c r="A30" s="68" t="n"/>
      <c r="B30" s="64" t="n"/>
      <c r="C30" s="63" t="inlineStr"/>
      <c r="D30" s="63" t="inlineStr"/>
    </row>
    <row r="31" ht="20" customHeight="1">
      <c r="A31" s="68" t="n"/>
      <c r="B31" s="64" t="n"/>
      <c r="C31" s="63" t="inlineStr"/>
      <c r="D31" s="63" t="inlineStr"/>
    </row>
    <row r="32" ht="20" customHeight="1">
      <c r="A32" s="68" t="n"/>
      <c r="B32" s="64" t="n"/>
      <c r="C32" s="63" t="inlineStr"/>
      <c r="D32" s="63" t="inlineStr"/>
    </row>
    <row r="33" ht="14" customHeight="1">
      <c r="A33" s="21" t="n"/>
      <c r="B33" s="21" t="n"/>
      <c r="C33" s="21" t="n"/>
      <c r="D33" s="21" t="n"/>
    </row>
    <row r="34" ht="24" customHeight="1">
      <c r="A34" s="62" t="inlineStr">
        <is>
          <t xml:space="preserve">  ΕΞΤΡΑ ΕΙΣΕΡΧΟΜΕΝΑ (πρόσθεσε εδώ)</t>
        </is>
      </c>
    </row>
    <row r="35">
      <c r="A35" s="31" t="inlineStr">
        <is>
          <t>Λογαριασμός</t>
        </is>
      </c>
      <c r="B35" s="31" t="inlineStr">
        <is>
          <t>Υπόλοιπο (€)</t>
        </is>
      </c>
      <c r="C35" s="31" t="inlineStr">
        <is>
          <t>Τελευταία Ενημέρωση</t>
        </is>
      </c>
      <c r="D35" s="31" t="inlineStr">
        <is>
          <t>Σημειώσεις</t>
        </is>
      </c>
    </row>
    <row r="36" ht="20" customHeight="1">
      <c r="A36" s="68" t="n"/>
      <c r="B36" s="64" t="n"/>
      <c r="C36" s="56" t="n"/>
      <c r="D36" s="63" t="inlineStr"/>
    </row>
    <row r="37" ht="20" customHeight="1">
      <c r="A37" s="68" t="n"/>
      <c r="B37" s="64" t="n"/>
      <c r="C37" s="56" t="n"/>
      <c r="D37" s="63" t="inlineStr"/>
    </row>
    <row r="38" ht="20" customHeight="1">
      <c r="A38" s="68" t="n"/>
      <c r="B38" s="64" t="n"/>
      <c r="C38" s="56" t="n"/>
      <c r="D38" s="63" t="inlineStr"/>
    </row>
    <row r="39" ht="20" customHeight="1">
      <c r="A39" s="68" t="n"/>
      <c r="B39" s="64" t="n"/>
      <c r="C39" s="56" t="n"/>
      <c r="D39" s="63" t="inlineStr"/>
    </row>
    <row r="40" ht="20" customHeight="1">
      <c r="A40" s="68" t="n"/>
      <c r="B40" s="64" t="n"/>
      <c r="C40" s="56" t="n"/>
      <c r="D40" s="63" t="inlineStr"/>
    </row>
  </sheetData>
  <mergeCells count="6">
    <mergeCell ref="A1:D1"/>
    <mergeCell ref="A34:D34"/>
    <mergeCell ref="A3:D3"/>
    <mergeCell ref="A21:D21"/>
    <mergeCell ref="A19:D19"/>
    <mergeCell ref="A13:D13"/>
  </mergeCells>
  <dataValidations count="1">
    <dataValidation sqref="C14:C15 C36:C40" showDropDown="0" showInputMessage="0" showErrorMessage="0" allowBlank="1" type="list">
      <formula1>"Εκκρεμεί,Ελήφθη,Ακυρώθηκε"</formula1>
    </dataValidation>
  </dataValidations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D54"/>
  <sheetViews>
    <sheetView showGridLines="0" workbookViewId="0">
      <selection activeCell="A1" sqref="A1"/>
    </sheetView>
  </sheetViews>
  <sheetFormatPr baseColWidth="8" defaultRowHeight="15"/>
  <cols>
    <col width="3" customWidth="1" min="1" max="1"/>
    <col width="60" customWidth="1" min="2" max="2"/>
    <col width="32" customWidth="1" min="3" max="3"/>
    <col width="4" customWidth="1" min="4" max="4"/>
  </cols>
  <sheetData>
    <row r="1" ht="40" customHeight="1">
      <c r="A1" s="69" t="inlineStr">
        <is>
          <t xml:space="preserve">  ΠΩΣ ΝΑ ΧΡΗΣΙΜΟΠΟΙΗΣΕΤΕ ΑΥΤΟ ΤΟ ΑΡΧΕΙΟ</t>
        </is>
      </c>
    </row>
    <row r="2" ht="6" customHeight="1">
      <c r="A2" s="9" t="n"/>
      <c r="B2" s="9" t="n"/>
      <c r="C2" s="9" t="n"/>
      <c r="D2" s="9" t="n"/>
    </row>
    <row r="3" ht="26" customHeight="1">
      <c r="A3" s="70" t="n"/>
      <c r="B3" s="71" t="inlineStr">
        <is>
          <t xml:space="preserve">  ΕΠΙΣΚΟΠΗΣΗ ΚΑΡΤΕΛΩΝ</t>
        </is>
      </c>
    </row>
    <row r="4" ht="22" customHeight="1">
      <c r="A4" s="72" t="n"/>
      <c r="B4" s="73" t="inlineStr">
        <is>
          <t>Τι κάνει η κάθε καρτέλα:</t>
        </is>
      </c>
      <c r="D4" s="45" t="n"/>
    </row>
    <row r="5" ht="37" customHeight="1">
      <c r="A5" s="74" t="n"/>
      <c r="B5" s="75" t="inlineStr">
        <is>
          <t>Control Center  —  Η κεντρική οθόνη. Δείχνει όλα τα χρήματα και τα έξοδα με μια ματιά. Μόνο ανάγνωση — μην γράφετε εδώ.</t>
        </is>
      </c>
      <c r="D5" s="76" t="n"/>
    </row>
    <row r="6" ht="37" customHeight="1">
      <c r="A6" s="74" t="n"/>
      <c r="B6" s="75" t="inlineStr">
        <is>
          <t>Expenses  —  Η λίστα όλων των δαπανών. Εδώ προσθέτετε, επεξεργαζόσαστε και παρακολουθείτε κάθε κόστος.</t>
        </is>
      </c>
      <c r="D6" s="76" t="n"/>
    </row>
    <row r="7" ht="22" customHeight="1">
      <c r="A7" s="74" t="n"/>
      <c r="B7" s="77" t="inlineStr">
        <is>
          <t>Accounts  —  Τρέχοντα υπόλοιπα: τράπεζες, μετρητή, χρυσός, εισερχόμενα (δάνειο TEPIX κ.λπ.).</t>
        </is>
      </c>
      <c r="D7" s="76" t="n"/>
    </row>
    <row r="8" ht="22" customHeight="1">
      <c r="A8" s="74" t="n"/>
      <c r="B8" s="77" t="inlineStr">
        <is>
          <t>Info  —  Αυτός ο οδηγός χρήσης στα Ελληνικά.</t>
        </is>
      </c>
      <c r="D8" s="76" t="n"/>
    </row>
    <row r="9" ht="6" customHeight="1">
      <c r="A9" s="21" t="n"/>
      <c r="B9" s="21" t="n"/>
      <c r="C9" s="21" t="n"/>
      <c r="D9" s="21" t="n"/>
    </row>
    <row r="10" ht="21" customHeight="1">
      <c r="A10" s="78" t="n"/>
      <c r="B10" s="79" t="inlineStr">
        <is>
          <t>Το Control Center ενημερώνεται αυτόματα όταν αλλάζετε κάτι στα Expenses ή Accounts.</t>
        </is>
      </c>
      <c r="D10" s="80" t="n"/>
    </row>
    <row r="11" ht="10" customHeight="1">
      <c r="A11" s="21" t="n"/>
      <c r="B11" s="21" t="n"/>
      <c r="C11" s="21" t="n"/>
      <c r="D11" s="21" t="n"/>
    </row>
    <row r="12" ht="26" customHeight="1">
      <c r="A12" s="70" t="n"/>
      <c r="B12" s="71" t="inlineStr">
        <is>
          <t xml:space="preserve">  ΠΩΣ ΝΑ ΠΡΟΣΘΕΣΕΤΕ ΜΙΑ ΔΑΠΑΝΗ</t>
        </is>
      </c>
    </row>
    <row r="13" ht="22" customHeight="1">
      <c r="A13" s="81" t="n"/>
      <c r="B13" s="77" t="inlineStr">
        <is>
          <t>1.  Πηγαίνετε στην καρτέλα «Expenses».</t>
        </is>
      </c>
      <c r="D13" s="76" t="n"/>
    </row>
    <row r="14" ht="22" customHeight="1">
      <c r="A14" s="81" t="n"/>
      <c r="B14" s="77" t="inlineStr">
        <is>
          <t>2.  Κατεβαίνετε στην πρώτη κενή κίτρινη γραμμή (κάτω από τα υπάρχοντα δεδομένα).</t>
        </is>
      </c>
      <c r="D14" s="76" t="n"/>
    </row>
    <row r="15" ht="37" customHeight="1">
      <c r="A15" s="81" t="n"/>
      <c r="B15" s="75" t="inlineStr">
        <is>
          <t>3.  Κλικάρετε το κίτρινο κελί στη στήλη «Project» και επιλέξτε από τη λίστα.</t>
        </is>
      </c>
      <c r="C15" s="82" t="inlineStr">
        <is>
          <t>π.χ.  Lazaraki 5</t>
        </is>
      </c>
      <c r="D15" s="76" t="n"/>
    </row>
    <row r="16" ht="22" customHeight="1">
      <c r="A16" s="81" t="n"/>
      <c r="B16" s="77" t="inlineStr">
        <is>
          <t>4.  Γράψτε περιγραφή στην επόμενη στήλη.</t>
        </is>
      </c>
      <c r="C16" s="13" t="inlineStr">
        <is>
          <t>π.χ.  Υδραυλικός — κουζίνα</t>
        </is>
      </c>
      <c r="D16" s="76" t="n"/>
    </row>
    <row r="17" ht="22" customHeight="1">
      <c r="A17" s="81" t="n"/>
      <c r="B17" s="77" t="inlineStr">
        <is>
          <t>5.  Κλικάρετε το κελί «Status» και επιλέξτε κατάσταση.</t>
        </is>
      </c>
      <c r="C17" s="13" t="inlineStr">
        <is>
          <t>Πληρωμένο  ή  Εκκρεμεί</t>
        </is>
      </c>
      <c r="D17" s="76" t="n"/>
    </row>
    <row r="18" ht="37" customHeight="1">
      <c r="A18" s="81" t="n"/>
      <c r="B18" s="75" t="inlineStr">
        <is>
          <t>6.  Κλικάρετε το κελί «Source» και επιλέξτε ποιος λογαριασμός πλήρωσε.</t>
        </is>
      </c>
      <c r="C18" s="82" t="inlineStr">
        <is>
          <t>Μετρητά, Optima Bank …</t>
        </is>
      </c>
      <c r="D18" s="76" t="n"/>
    </row>
    <row r="19" ht="22" customHeight="1">
      <c r="A19" s="81" t="n"/>
      <c r="B19" s="77" t="inlineStr">
        <is>
          <t>7.  Γράψτε το ποσό (μόνο αριθμός, χωρίς σύμβολο €).</t>
        </is>
      </c>
      <c r="D19" s="76" t="n"/>
    </row>
    <row r="20" ht="22" customHeight="1">
      <c r="A20" s="81" t="n"/>
      <c r="B20" s="77" t="inlineStr">
        <is>
          <t>8.  Προαιρετικά: προσθέστε σημειώσεις στην τελευταία στήλη.</t>
        </is>
      </c>
      <c r="D20" s="76" t="n"/>
    </row>
    <row r="21" ht="4" customHeight="1">
      <c r="A21" s="21" t="n"/>
      <c r="B21" s="21" t="n"/>
      <c r="C21" s="21" t="n"/>
      <c r="D21" s="21" t="n"/>
    </row>
    <row r="22" ht="21" customHeight="1">
      <c r="A22" s="78" t="n"/>
      <c r="B22" s="79" t="inlineStr">
        <is>
          <t>Τα σύνολα στο Control Center ενημερώνονται αυτόματα μόλις πατήσετε Enter.</t>
        </is>
      </c>
      <c r="D22" s="80" t="n"/>
    </row>
    <row r="23" ht="10" customHeight="1">
      <c r="A23" s="21" t="n"/>
      <c r="B23" s="21" t="n"/>
      <c r="C23" s="21" t="n"/>
      <c r="D23" s="21" t="n"/>
    </row>
    <row r="24" ht="26" customHeight="1">
      <c r="A24" s="70" t="n"/>
      <c r="B24" s="71" t="inlineStr">
        <is>
          <t xml:space="preserve">  ΠΩΣ ΝΑ ΠΡΟΣΘΕΣΕΤΕ ΝΕΟ ΕΡΓΟ</t>
        </is>
      </c>
    </row>
    <row r="25" ht="22" customHeight="1">
      <c r="A25" s="74" t="n"/>
      <c r="B25" s="77" t="inlineStr">
        <is>
          <t>Υπάρχουν δύο βήματα όταν προστίθεται νέο έργο:</t>
        </is>
      </c>
      <c r="D25" s="76" t="n"/>
    </row>
    <row r="26" ht="22" customHeight="1">
      <c r="A26" s="81" t="n"/>
      <c r="B26" s="77" t="inlineStr">
        <is>
          <t>1.  Πηγαίνετε στα «Expenses» και γράψτε το όνομα του νέου έργου στη στήλη «Project».</t>
        </is>
      </c>
      <c r="D26" s="76" t="n"/>
    </row>
    <row r="27" ht="37" customHeight="1">
      <c r="A27" s="81" t="n"/>
      <c r="B27" s="75" t="inlineStr">
        <is>
          <t>2.  Χρησιμοποιείτε ακριβώς το ίδιο όνομα σε κάθε γραμμή του συγκεκριμένου έργου.</t>
        </is>
      </c>
      <c r="C27" s="82" t="inlineStr">
        <is>
          <t>Η ορθογραφία έχει σημασία!</t>
        </is>
      </c>
      <c r="D27" s="76" t="n"/>
    </row>
    <row r="28" ht="22" customHeight="1">
      <c r="A28" s="81" t="n"/>
      <c r="B28" s="77" t="inlineStr">
        <is>
          <t>3.  Τα σύνολα στην κορυφή της σελίδας Expenses υπολογίζονται αυτόματα.</t>
        </is>
      </c>
      <c r="D28" s="76" t="n"/>
    </row>
    <row r="29" ht="4" customHeight="1">
      <c r="A29" s="21" t="n"/>
      <c r="B29" s="21" t="n"/>
      <c r="C29" s="21" t="n"/>
      <c r="D29" s="21" t="n"/>
    </row>
    <row r="30" ht="21" customHeight="1">
      <c r="A30" s="78" t="n"/>
      <c r="B30" s="79" t="inlineStr">
        <is>
          <t>Ορθογραφία: «Lazaraki 5» και «lazaraki 5» θεωρούνται διαφορετικά έργα!</t>
        </is>
      </c>
      <c r="D30" s="80" t="n"/>
    </row>
    <row r="31" ht="10" customHeight="1">
      <c r="A31" s="21" t="n"/>
      <c r="B31" s="21" t="n"/>
      <c r="C31" s="21" t="n"/>
      <c r="D31" s="21" t="n"/>
    </row>
    <row r="32" ht="26" customHeight="1">
      <c r="A32" s="70" t="n"/>
      <c r="B32" s="71" t="inlineStr">
        <is>
          <t xml:space="preserve">  ΠΩΣ ΝΑ ΕΝΗΜΕΡΩΣΕΤΕ ΥΠΟΛΟΙΠΑ</t>
        </is>
      </c>
    </row>
    <row r="33" ht="22" customHeight="1">
      <c r="A33" s="81" t="n"/>
      <c r="B33" s="77" t="inlineStr">
        <is>
          <t>1.  Πηγαίνετε στην καρτέλα «Accounts».</t>
        </is>
      </c>
      <c r="D33" s="76" t="n"/>
    </row>
    <row r="34" ht="22" customHeight="1">
      <c r="A34" s="81" t="n"/>
      <c r="B34" s="77" t="inlineStr">
        <is>
          <t>2.  Κλικάρετε το κίτρινο κελί δίπλα από τον λογαριασμό που θέλετε να αλλάξετε.</t>
        </is>
      </c>
      <c r="D34" s="76" t="n"/>
    </row>
    <row r="35" ht="22" customHeight="1">
      <c r="A35" s="81" t="n"/>
      <c r="B35" s="77" t="inlineStr">
        <is>
          <t>3.  Γράψτε το νέο υπόλοιπο και πατήστε Enter.</t>
        </is>
      </c>
      <c r="D35" s="76" t="n"/>
    </row>
    <row r="36" ht="22" customHeight="1">
      <c r="A36" s="81" t="n"/>
      <c r="B36" s="77" t="inlineStr">
        <is>
          <t>4.  Για TEPIX ή «Αναμενόμενα»: αλλάξτε και την κατάσταση.</t>
        </is>
      </c>
      <c r="C36" s="13" t="inlineStr">
        <is>
          <t>Εκκρεμεί → Ελήφθη</t>
        </is>
      </c>
      <c r="D36" s="76" t="n"/>
    </row>
    <row r="37" ht="4" customHeight="1">
      <c r="A37" s="21" t="n"/>
      <c r="B37" s="21" t="n"/>
      <c r="C37" s="21" t="n"/>
      <c r="D37" s="21" t="n"/>
    </row>
    <row r="38" ht="35" customHeight="1">
      <c r="A38" s="78" t="n"/>
      <c r="B38" s="83" t="inlineStr">
        <is>
          <t>Ενημερώνετε τακτικά τα υπόλοιπα — το «Ελεύθερο Μετρητή» στο Control Center εξαρτάται από ακριβή υπόλοιπα.</t>
        </is>
      </c>
      <c r="D38" s="80" t="n"/>
    </row>
    <row r="39" ht="10" customHeight="1">
      <c r="A39" s="21" t="n"/>
      <c r="B39" s="21" t="n"/>
      <c r="C39" s="21" t="n"/>
      <c r="D39" s="21" t="n"/>
    </row>
    <row r="40" ht="26" customHeight="1">
      <c r="A40" s="70" t="n"/>
      <c r="B40" s="71" t="inlineStr">
        <is>
          <t xml:space="preserve">  ΟΔΗΓΟΣ ΧΡΩΜΑΤΩΝ</t>
        </is>
      </c>
    </row>
    <row r="41" ht="22" customHeight="1">
      <c r="A41" s="36" t="n"/>
      <c r="B41" s="84" t="inlineStr">
        <is>
          <t xml:space="preserve">  Πράσινο = Πληρώθηκε / Θετικό μέγεθος</t>
        </is>
      </c>
      <c r="D41" s="85" t="n"/>
    </row>
    <row r="42" ht="22" customHeight="1">
      <c r="A42" s="80" t="n"/>
      <c r="B42" s="86" t="inlineStr">
        <is>
          <t xml:space="preserve">  Κίτρινο / ελεύθερου χρώμα = επεξεργάσιμο κελί — μπορείτε να γράψετε εδώ</t>
        </is>
      </c>
      <c r="D42" s="87" t="n"/>
    </row>
    <row r="43" ht="22" customHeight="1">
      <c r="A43" s="45" t="n"/>
      <c r="B43" s="88" t="inlineStr">
        <is>
          <t xml:space="preserve">  Μπλε φόντο = υπολογισμένο κελί — μην αλλάζετε</t>
        </is>
      </c>
      <c r="D43" s="89" t="n"/>
    </row>
    <row r="44" ht="22" customHeight="1">
      <c r="A44" s="40" t="n"/>
      <c r="B44" s="90" t="inlineStr">
        <is>
          <t xml:space="preserve">  Πορτοκαλί = Τμήμα Lazaraki 5</t>
        </is>
      </c>
      <c r="D44" s="91" t="n"/>
    </row>
    <row r="45" ht="22" customHeight="1">
      <c r="A45" s="92" t="n"/>
      <c r="B45" s="93" t="inlineStr">
        <is>
          <t xml:space="preserve">  Μοβ = Τμήμα Agiou Konstantinou</t>
        </is>
      </c>
      <c r="D45" s="94" t="n"/>
    </row>
    <row r="46" ht="22" customHeight="1">
      <c r="A46" s="95" t="n"/>
      <c r="B46" s="96" t="inlineStr">
        <is>
          <t xml:space="preserve">  Κόκκινο = προειδοποίηση ή έλλειμμα</t>
        </is>
      </c>
      <c r="D46" s="97" t="n"/>
    </row>
    <row r="47" ht="10" customHeight="1">
      <c r="A47" s="21" t="n"/>
      <c r="B47" s="21" t="n"/>
      <c r="C47" s="21" t="n"/>
      <c r="D47" s="21" t="n"/>
    </row>
    <row r="48" ht="26" customHeight="1">
      <c r="A48" s="70" t="n"/>
      <c r="B48" s="71" t="inlineStr">
        <is>
          <t xml:space="preserve">  ΓΡΗΓΟΡΕΣ ΣΥΜΒΟΥΛΕΣ</t>
        </is>
      </c>
    </row>
    <row r="49" ht="22" customHeight="1">
      <c r="A49" s="74" t="n"/>
      <c r="B49" s="77" t="inlineStr">
        <is>
          <t>Κίτρινα κελιά → επεξεργάσιμα.  Ασπρο/μπλε κελιά → τύποι, μην αλλάζετε.</t>
        </is>
      </c>
      <c r="D49" s="76" t="n"/>
    </row>
    <row r="50" ht="22" customHeight="1">
      <c r="A50" s="74" t="n"/>
      <c r="B50" s="77" t="inlineStr">
        <is>
          <t>Αποθηκεύετε πάντα μετά από αλλαγές (Ctrl + S).</t>
        </is>
      </c>
      <c r="D50" s="76" t="n"/>
    </row>
    <row r="51" ht="22" customHeight="1">
      <c r="A51" s="74" t="n"/>
      <c r="B51" s="77" t="inlineStr">
        <is>
          <t>Μην προσθέτετε ή διαγράψετε στήλες — οι τύποι εξαρτώνται από τις θέσεις των στηλών.</t>
        </is>
      </c>
      <c r="D51" s="76" t="n"/>
    </row>
    <row r="52" ht="22" customHeight="1">
      <c r="A52" s="74" t="n"/>
      <c r="B52" s="77" t="inlineStr">
        <is>
          <t>Αν κάποιο σύνολο φαίνεται λάθος, ελέγξτε την ορθογραφία του ονόματος έργου.</t>
        </is>
      </c>
      <c r="D52" s="76" t="n"/>
    </row>
    <row r="53" ht="22" customHeight="1">
      <c r="A53" s="74" t="n"/>
      <c r="B53" s="77" t="inlineStr">
        <is>
          <t>Αντίγραφε το αρχείο τακτικά (USB ή cloud).</t>
        </is>
      </c>
      <c r="D53" s="76" t="n"/>
    </row>
    <row r="54" ht="10" customHeight="1">
      <c r="A54" s="21" t="n"/>
      <c r="B54" s="21" t="n"/>
      <c r="C54" s="21" t="n"/>
      <c r="D54" s="21" t="n"/>
    </row>
  </sheetData>
  <mergeCells count="37">
    <mergeCell ref="B42:D42"/>
    <mergeCell ref="B7:C7"/>
    <mergeCell ref="B25:C25"/>
    <mergeCell ref="B22:C22"/>
    <mergeCell ref="B44:D44"/>
    <mergeCell ref="B52:C52"/>
    <mergeCell ref="B40:D40"/>
    <mergeCell ref="B14:C14"/>
    <mergeCell ref="B8:C8"/>
    <mergeCell ref="B24:D24"/>
    <mergeCell ref="B53:C53"/>
    <mergeCell ref="B13:C13"/>
    <mergeCell ref="A1:D1"/>
    <mergeCell ref="B38:C38"/>
    <mergeCell ref="B43:D43"/>
    <mergeCell ref="B45:D45"/>
    <mergeCell ref="B41:D41"/>
    <mergeCell ref="B19:C19"/>
    <mergeCell ref="B34:C34"/>
    <mergeCell ref="B32:D32"/>
    <mergeCell ref="B10:C10"/>
    <mergeCell ref="B28:C28"/>
    <mergeCell ref="B49:C49"/>
    <mergeCell ref="B6:C6"/>
    <mergeCell ref="B3:D3"/>
    <mergeCell ref="B30:C30"/>
    <mergeCell ref="B33:C33"/>
    <mergeCell ref="B46:D46"/>
    <mergeCell ref="B5:C5"/>
    <mergeCell ref="B20:C20"/>
    <mergeCell ref="B51:C51"/>
    <mergeCell ref="B50:C50"/>
    <mergeCell ref="B26:C26"/>
    <mergeCell ref="B12:D12"/>
    <mergeCell ref="B35:C35"/>
    <mergeCell ref="B4:C4"/>
    <mergeCell ref="B48:D48"/>
  </mergeCell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2026-07-06T06:00:48Z</dcterms:created>
  <dcterms:modified xmlns:dcterms="http://purl.org/dc/terms/" xmlns:xsi="http://www.w3.org/2001/XMLSchema-instance" xsi:type="dcterms:W3CDTF">2026-07-06T06:00:48Z</dcterms:modified>
</cp:coreProperties>
</file>